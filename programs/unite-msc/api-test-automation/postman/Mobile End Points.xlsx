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kumar\Downloads\"/>
    </mc:Choice>
  </mc:AlternateContent>
  <xr:revisionPtr revIDLastSave="0" documentId="8_{219961B4-ACB8-4B7C-9786-214CE7185918}" xr6:coauthVersionLast="47" xr6:coauthVersionMax="47" xr10:uidLastSave="{00000000-0000-0000-0000-000000000000}"/>
  <bookViews>
    <workbookView xWindow="-110" yWindow="-110" windowWidth="19420" windowHeight="11500" xr2:uid="{37FC1584-CD5D-461D-9AB9-599B8108D390}"/>
  </bookViews>
  <sheets>
    <sheet name="API Endpoints - Mobile1" sheetId="2" r:id="rId1"/>
    <sheet name="Mobile1 App Flow" sheetId="4" r:id="rId2"/>
    <sheet name="API Endpoints - Mobile2" sheetId="6" r:id="rId3"/>
    <sheet name="Mobile2 App Flow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6" l="1"/>
  <c r="H47" i="6"/>
  <c r="H46" i="6"/>
  <c r="H45" i="6"/>
  <c r="H44" i="6"/>
  <c r="E50" i="6"/>
  <c r="E49" i="6"/>
  <c r="E48" i="6"/>
  <c r="E47" i="6"/>
  <c r="E46" i="6"/>
  <c r="E45" i="6"/>
  <c r="E44" i="6"/>
  <c r="B52" i="6"/>
  <c r="B51" i="6"/>
  <c r="B50" i="6"/>
  <c r="B49" i="6"/>
  <c r="B48" i="6"/>
  <c r="B47" i="6"/>
  <c r="B46" i="6"/>
  <c r="B45" i="6"/>
  <c r="B44" i="6"/>
  <c r="H53" i="2"/>
  <c r="H52" i="2"/>
  <c r="H51" i="2"/>
  <c r="H50" i="2"/>
  <c r="H49" i="2"/>
  <c r="H54" i="2" s="1"/>
  <c r="E54" i="2"/>
  <c r="E53" i="2"/>
  <c r="E52" i="2"/>
  <c r="E51" i="2"/>
  <c r="E50" i="2"/>
  <c r="E49" i="2"/>
  <c r="E55" i="2" s="1"/>
  <c r="B58" i="2"/>
  <c r="B57" i="2"/>
  <c r="B56" i="2"/>
  <c r="B55" i="2"/>
  <c r="B54" i="2"/>
  <c r="B53" i="2"/>
  <c r="B52" i="2"/>
  <c r="B51" i="2"/>
  <c r="B50" i="2"/>
  <c r="B49" i="2"/>
  <c r="B59" i="2" s="1"/>
</calcChain>
</file>

<file path=xl/sharedStrings.xml><?xml version="1.0" encoding="utf-8"?>
<sst xmlns="http://schemas.openxmlformats.org/spreadsheetml/2006/main" count="639" uniqueCount="301">
  <si>
    <t>API Endpoints Reference - unite-mobile1</t>
  </si>
  <si>
    <t>Category</t>
  </si>
  <si>
    <t>Method</t>
  </si>
  <si>
    <t>Endpoint</t>
  </si>
  <si>
    <t>Auth Level</t>
  </si>
  <si>
    <t>Description</t>
  </si>
  <si>
    <t>Use Case</t>
  </si>
  <si>
    <t>Authentication &amp; Session</t>
  </si>
  <si>
    <t>POST</t>
  </si>
  <si>
    <t>/v1/mobilemembersession</t>
  </si>
  <si>
    <t>Public</t>
  </si>
  <si>
    <t>Member login. Validates plan/username/password, creates session, returns JWT.</t>
  </si>
  <si>
    <t>Primary login when user opens the mobile app.</t>
  </si>
  <si>
    <t>/v1/mobilememberidptoken</t>
  </si>
  <si>
    <t>IDP login. Creates session from external Identity Provider token.</t>
  </si>
  <si>
    <t>SSO / IDP-enabled plans.</t>
  </si>
  <si>
    <t>/v1/idptokenexchange</t>
  </si>
  <si>
    <t>Member</t>
  </si>
  <si>
    <t>Exchanges member JWT for an IDP-backed token.</t>
  </si>
  <si>
    <t>Cross-plan or IDP flows after member login.</t>
  </si>
  <si>
    <t>/v1/mobilecsrasmembersession</t>
  </si>
  <si>
    <t>Public + CSR header</t>
  </si>
  <si>
    <t>CSR impersonation login using x-enc-csrasmemberjwttoken.</t>
  </si>
  <si>
    <t>CSR support tool — act as member.</t>
  </si>
  <si>
    <t>GET</t>
  </si>
  <si>
    <t>/v1/mobilemembersession/{id}</t>
  </si>
  <si>
    <t>Member (2FA)</t>
  </si>
  <si>
    <t>Retrieve session details by session ID.</t>
  </si>
  <si>
    <t>Inspect or validate active session.</t>
  </si>
  <si>
    <t>PATCH</t>
  </si>
  <si>
    <t>Logout / delete session (returns 204).</t>
  </si>
  <si>
    <t>User logs out; app invalidates session.</t>
  </si>
  <si>
    <t>/v1/mobilememberusername</t>
  </si>
  <si>
    <t>Returns logged-in member's username.</t>
  </si>
  <si>
    <t>Profile / settings display.</t>
  </si>
  <si>
    <t>/v1/mobilemembersessionpin</t>
  </si>
  <si>
    <t>Member (1FA)</t>
  </si>
  <si>
    <t>Create session PIN for step-up authentication.</t>
  </si>
  <si>
    <t>Quick PIN setup for re-auth.</t>
  </si>
  <si>
    <t>/v1/mobilemembersession/validateBiometricToken</t>
  </si>
  <si>
    <t>Validate biometric token; returns session/JWT if valid.</t>
  </si>
  <si>
    <t>Face ID / fingerprint login on return visits.</t>
  </si>
  <si>
    <t>Owner &amp; Profile</t>
  </si>
  <si>
    <t>/v1/mobileowner</t>
  </si>
  <si>
    <t>Get account owner profile (name, email, addresses, phones).</t>
  </si>
  <si>
    <t>Profile screen, contact info display.</t>
  </si>
  <si>
    <t>PUT</t>
  </si>
  <si>
    <t>Update owner contact info.</t>
  </si>
  <si>
    <t>User edits profile in app.</t>
  </si>
  <si>
    <t>/v1/mobileprofilemenu</t>
  </si>
  <si>
    <t>Profile menu — owner name + beneficiary names by account extension.</t>
  </si>
  <si>
    <t>Profile tab; discover account ext values.</t>
  </si>
  <si>
    <t>/v1/mobileOwnerMenu</t>
  </si>
  <si>
    <t>Owner menu branding — plan logo, treasury seal, product name, state.</t>
  </si>
  <si>
    <t>Home/dashboard header.</t>
  </si>
  <si>
    <t>OPTIONS</t>
  </si>
  <si>
    <t>CORS preflight for owner menu.</t>
  </si>
  <si>
    <t>Browser/mobile web CORS only.</t>
  </si>
  <si>
    <t>Beneficiary &amp; Account Closure</t>
  </si>
  <si>
    <t>/v1/mobilebeneficiaryByExt/{ext}</t>
  </si>
  <si>
    <t>Get beneficiary details for account extension.</t>
  </si>
  <si>
    <t>View beneficiary for a specific 529 account.</t>
  </si>
  <si>
    <t>/v1/mobilecloseaccount/{ext}</t>
  </si>
  <si>
    <t>Close account. Query preClosureCheck=true validates only.</t>
  </si>
  <si>
    <t>Account closure flow; pre-check shows eligibility/errors.</t>
  </si>
  <si>
    <t>Password</t>
  </si>
  <si>
    <t>/v1/mobilemembers</t>
  </si>
  <si>
    <t>Change member password.</t>
  </si>
  <si>
    <t>Settings → change password.</t>
  </si>
  <si>
    <t>Phone 2FA</t>
  </si>
  <si>
    <t>/v1/requestPhoneNumberAuthentication</t>
  </si>
  <si>
    <t>Request SMS/voice PIN for phone verification.</t>
  </si>
  <si>
    <t>2FA enrollment or step-up auth.</t>
  </si>
  <si>
    <t>/v1/memberpin</t>
  </si>
  <si>
    <t>Verify PIN and create trusted device if biometric enabled.</t>
  </si>
  <si>
    <t>User enters SMS code; completes 2FA setup.</t>
  </si>
  <si>
    <t>Biometric</t>
  </si>
  <si>
    <t>/v1/mobilememberbiometric</t>
  </si>
  <si>
    <t>Register biometric (Face ID / fingerprint). Returns biometricToken.</t>
  </si>
  <si>
    <t>User enables biometric login.</t>
  </si>
  <si>
    <t>Member (2FA) + x-enc-biotoken</t>
  </si>
  <si>
    <t>Retrieve biometric enrollment for device.</t>
  </si>
  <si>
    <t>Check if biometric is set up.</t>
  </si>
  <si>
    <t>DELETE</t>
  </si>
  <si>
    <t>Remove biometric enrollment.</t>
  </si>
  <si>
    <t>User disables biometric login.</t>
  </si>
  <si>
    <t>CORS preflight.</t>
  </si>
  <si>
    <t>Browser CORS only.</t>
  </si>
  <si>
    <t>Device &amp; Push</t>
  </si>
  <si>
    <t>/v1/mobilememberdevices/{deviceUuid}</t>
  </si>
  <si>
    <t>Register mobile device for member.</t>
  </si>
  <si>
    <t>App install / first launch.</t>
  </si>
  <si>
    <t>Check if device is registered.</t>
  </si>
  <si>
    <t>Verify trusted device status.</t>
  </si>
  <si>
    <t>/v1/mobilememberpushnotificationtokens</t>
  </si>
  <si>
    <t>Register FCM/APNs push token.</t>
  </si>
  <si>
    <t>Enable push alerts.</t>
  </si>
  <si>
    <t>Update push token when it refreshes.</t>
  </si>
  <si>
    <t>Token rotation on app restart.</t>
  </si>
  <si>
    <t>/v1/mobilememberpushnotificationtokens/deviceuuid/{uuid}</t>
  </si>
  <si>
    <t>Get push token by device UUID.</t>
  </si>
  <si>
    <t>Lookup existing registration.</t>
  </si>
  <si>
    <t>Bank Lookup</t>
  </si>
  <si>
    <t>/v1/mobilebankinfobyroutingnum/{routingNum}</t>
  </si>
  <si>
    <t>Look up bank name/details from routing number.</t>
  </si>
  <si>
    <t>Bank linking — auto-fill bank name from routing number.</t>
  </si>
  <si>
    <t>Core Service Health</t>
  </si>
  <si>
    <t>/v1/coreservicehealth/liveness</t>
  </si>
  <si>
    <t>Check if named backend service is alive.</t>
  </si>
  <si>
    <t>Ops / app dependency checks.</t>
  </si>
  <si>
    <t>/v1/coreservicehealth/readiness</t>
  </si>
  <si>
    <t>Check if backend service is ready for traffic.</t>
  </si>
  <si>
    <t>Readiness before routing users.</t>
  </si>
  <si>
    <t>/v1/coreservicehealth</t>
  </si>
  <si>
    <t>Docs, Health &amp; Ops</t>
  </si>
  <si>
    <t>/v1/openapi.json</t>
  </si>
  <si>
    <t>OpenAPI/Swagger spec for all mobile1 endpoints.</t>
  </si>
  <si>
    <t>API docs, Postman, codegen.</t>
  </si>
  <si>
    <t>/v1/certificate</t>
  </si>
  <si>
    <t>Secure token / certificate public key.</t>
  </si>
  <si>
    <t>App encryption setup for x-enc-* headers.</t>
  </si>
  <si>
    <t>/health/liveness</t>
  </si>
  <si>
    <t>App is running (status: UP).</t>
  </si>
  <si>
    <t>Kubernetes liveness probe.</t>
  </si>
  <si>
    <t>/health/readiness</t>
  </si>
  <si>
    <t>App is ready (dependencies configured).</t>
  </si>
  <si>
    <t>Kubernetes readiness probe.</t>
  </si>
  <si>
    <t>/health/properties</t>
  </si>
  <si>
    <t>Build info — version, component, changelist.</t>
  </si>
  <si>
    <t>Verify deployed version.</t>
  </si>
  <si>
    <t>/health/properties/all</t>
  </si>
  <si>
    <t>Build info for mobile1 + downstream services.</t>
  </si>
  <si>
    <t>Full deployment audit.</t>
  </si>
  <si>
    <t>/health/cache</t>
  </si>
  <si>
    <t>Ops</t>
  </si>
  <si>
    <t>Clear all in-memory caches.</t>
  </si>
  <si>
    <t>Ops troubleshooting.</t>
  </si>
  <si>
    <t>📊 Summary Dashboard</t>
  </si>
  <si>
    <t>Endpoints by Category</t>
  </si>
  <si>
    <t>Count</t>
  </si>
  <si>
    <t>TOTAL</t>
  </si>
  <si>
    <t>Endpoints by HTTP Method</t>
  </si>
  <si>
    <t>Endpoints by Auth Level</t>
  </si>
  <si>
    <t>Member (general)</t>
  </si>
  <si>
    <t>Ops/Internal</t>
  </si>
  <si>
    <t>📱 Mobile App Flow - API Sequence</t>
  </si>
  <si>
    <t>Typical sequence of API calls during a mobile app session</t>
  </si>
  <si>
    <t>App Launch</t>
  </si>
  <si>
    <t>→</t>
  </si>
  <si>
    <t>GET  /health/readiness  (optional)</t>
  </si>
  <si>
    <t>GET  /v1/certificate  (encryption setup)</t>
  </si>
  <si>
    <t>▼</t>
  </si>
  <si>
    <t>Login</t>
  </si>
  <si>
    <t>POST  /v1/mobilemembersession  → jwtToken</t>
  </si>
  <si>
    <t>POST  /v1/mobilemembersessionpin  (optional PIN)</t>
  </si>
  <si>
    <t>Home / Dashboard</t>
  </si>
  <si>
    <t>GET  /v1/mobileOwnerMenu  → branding</t>
  </si>
  <si>
    <t>GET  /v1/mobileprofilemenu  → bene list + ext values</t>
  </si>
  <si>
    <t>Profile</t>
  </si>
  <si>
    <t>GET  /v1/mobileowner  → contact info</t>
  </si>
  <si>
    <t>PUT  /v1/mobileowner  → update contact</t>
  </si>
  <si>
    <t>Account Details</t>
  </si>
  <si>
    <t>GET  /v1/mobilebeneficiaryByExt/{ext}</t>
  </si>
  <si>
    <t>Bank Linking</t>
  </si>
  <si>
    <t>GET  /v1/mobilebankinfobyroutingnum/{routingNum}</t>
  </si>
  <si>
    <t>Security Setup</t>
  </si>
  <si>
    <t>POST  /v1/requestPhoneNumberAuthentication</t>
  </si>
  <si>
    <t>PATCH  /v1/memberpin</t>
  </si>
  <si>
    <t>POST  /v1/mobilememberbiometric</t>
  </si>
  <si>
    <t>POST  /v1/mobilemembersession/validateBiometricToken</t>
  </si>
  <si>
    <t>Device &amp; Notifications</t>
  </si>
  <si>
    <t>POST  /v1/mobilememberdevices/{uuid}</t>
  </si>
  <si>
    <t>POST  /v1/mobilememberpushnotificationtokens</t>
  </si>
  <si>
    <t>Logout</t>
  </si>
  <si>
    <t>PATCH  /v1/mobilemembersession/{id}</t>
  </si>
  <si>
    <t>Legend</t>
  </si>
  <si>
    <t>Read/Retrieve data</t>
  </si>
  <si>
    <t>Create new resource</t>
  </si>
  <si>
    <t>Update existing resource</t>
  </si>
  <si>
    <t>Partial update / logout</t>
  </si>
  <si>
    <t>Remove resource</t>
  </si>
  <si>
    <t>▼ = Flow direction (sequential steps)</t>
  </si>
  <si>
    <t>API Endpoints Reference - unite-mobile2</t>
  </si>
  <si>
    <t>Dashboard</t>
  </si>
  <si>
    <t>/v1/mobiledashboard</t>
  </si>
  <si>
    <t>Full home dashboard: owner name, totalBalance, asOfDate, mobileAccounts[], mobileUgifts[], mobileBanks[].</t>
  </si>
  <si>
    <t>App home screen after login. Primary source for ext, seqAcctId, bankId.</t>
  </si>
  <si>
    <t>/v1/mobileytdsummary/{ext}</t>
  </si>
  <si>
    <t>Year-to-date contribution summary for one account.</t>
  </si>
  <si>
    <t>Dashboard YTD widget per beneficiary.</t>
  </si>
  <si>
    <t>/v1/mobilemembers/{planId}/{username}</t>
  </si>
  <si>
    <t>Internal</t>
  </si>
  <si>
    <t>Lookup member by plan and username.</t>
  </si>
  <si>
    <t>Test harness only — returns 401 with member JWT.</t>
  </si>
  <si>
    <t>UGift</t>
  </si>
  <si>
    <t>/v1/mobileugift</t>
  </si>
  <si>
    <t>List UGift IDs and status for all member accounts.</t>
  </si>
  <si>
    <t>UGift screen — show shareable gift code per beneficiary.</t>
  </si>
  <si>
    <t>/v1/mobileugift/{ext}</t>
  </si>
  <si>
    <t>Create or activate a UGift ID for account ext. Body: {} (empty).</t>
  </si>
  <si>
    <t>User taps 'Get UGift ID' for a beneficiary.</t>
  </si>
  <si>
    <t>Banks</t>
  </si>
  <si>
    <t>/v1/mobilebanks</t>
  </si>
  <si>
    <t>Browser/mobile web only.</t>
  </si>
  <si>
    <t>List all linked bank accounts. Query: ?filterDomesticBanks=true.</t>
  </si>
  <si>
    <t>Bank management screen, contribution bank picker.</t>
  </si>
  <si>
    <t>/v1/mobilebanks/{id}</t>
  </si>
  <si>
    <t>Get one bank by ID.</t>
  </si>
  <si>
    <t>View/edit single bank details.</t>
  </si>
  <si>
    <t>Add bank account(s). Body: array of MobileBank. Optional query: ?planId=&lt;plan&gt;.</t>
  </si>
  <si>
    <t>Link a new bank after verification session.</t>
  </si>
  <si>
    <t>Update bank account(s). Body must include bank id.</t>
  </si>
  <si>
    <t>Edit linked bank details.</t>
  </si>
  <si>
    <t>Remove bank account(s). Body identifies bank by id, routingNum, acctNum, acctType.</t>
  </si>
  <si>
    <t>Unlink a bank.</t>
  </si>
  <si>
    <t>Contributions</t>
  </si>
  <si>
    <t>/v1/mobilecontribution</t>
  </si>
  <si>
    <t>Contribution setup page: eligible accounts, frequency options, amount choices, ugiftMobileAccounts.</t>
  </si>
  <si>
    <t>Open 'Make a contribution' or 'Set up recurring'.</t>
  </si>
  <si>
    <t>/v1/mobilecontributioncheck</t>
  </si>
  <si>
    <t>Pre-check whether member can contribute (eligibility, frozen/closed accounts).</t>
  </si>
  <si>
    <t>Before showing contribution UI.</t>
  </si>
  <si>
    <t>/v1/mobilecontribution/{ext}/{id}</t>
  </si>
  <si>
    <t>Get one recurring contribution for editing. id = bank instruction ID.</t>
  </si>
  <si>
    <t>Edit existing recurring contribution.</t>
  </si>
  <si>
    <t>Create recurring contribution(s). Body: array. Use validate: 'true' for dry-run.</t>
  </si>
  <si>
    <t>Set up new recurring contribution.</t>
  </si>
  <si>
    <t>Update recurring contribution. Body: single object.</t>
  </si>
  <si>
    <t>Change amount/frequency/bank.</t>
  </si>
  <si>
    <t>Stop/delete recurring contribution. Body: single object.</t>
  </si>
  <si>
    <t>Cancel recurring contribution.</t>
  </si>
  <si>
    <t>Activity &amp; Transactions</t>
  </si>
  <si>
    <t>/v1/mobileactivity/{ext}</t>
  </si>
  <si>
    <t>Recent activity, contribution summary, recurring contributions list, pending contributions.</t>
  </si>
  <si>
    <t>Activity tab for one beneficiary. Source for contributionId.</t>
  </si>
  <si>
    <t>/v1/mobiletransactionhistory/{ext}</t>
  </si>
  <si>
    <t>Paged transaction history. Query: duration (months), page (0-based).</t>
  </si>
  <si>
    <t>Full transaction list with pagination.</t>
  </si>
  <si>
    <t>/v1/investments/{ext}</t>
  </si>
  <si>
    <t>Investment holdings / fund allocations for account.</t>
  </si>
  <si>
    <t>Investments screen per beneficiary.</t>
  </si>
  <si>
    <t>Performance &amp; Balance</t>
  </si>
  <si>
    <t>/v1/mobilebalancetrend/{ext}</t>
  </si>
  <si>
    <t>Balance trend over time (chart data).</t>
  </si>
  <si>
    <t>Balance trend graph per account.</t>
  </si>
  <si>
    <t>/v1/mobileperformance/{ext}</t>
  </si>
  <si>
    <t>Performance summary: principal, earnings, total balance.</t>
  </si>
  <si>
    <t>Performance screen per beneficiary.</t>
  </si>
  <si>
    <t>/v1/mobilestackup/{id}</t>
  </si>
  <si>
    <t>Stack-up comparison — how member savings compare to plan averages. {id} = planId.</t>
  </si>
  <si>
    <t>Educational / motivational comparison widget.</t>
  </si>
  <si>
    <t>Content &amp; Plans</t>
  </si>
  <si>
    <t>/v1/content</t>
  </si>
  <si>
    <t>CMS content by plan. Query: id (plan), lang, name (content key).</t>
  </si>
  <si>
    <t>In-app tips, help text, marketing copy.</t>
  </si>
  <si>
    <t>/v1/plans</t>
  </si>
  <si>
    <t>List all mobile-enabled 529 plans. Query: page (optional). Requires X-App-Version + X-App-Build.</t>
  </si>
  <si>
    <t>Plan picker on app launch (pre-login).</t>
  </si>
  <si>
    <t>/v1/plans/{id}</t>
  </si>
  <si>
    <t>Single plan details by plan ID. Enforces min app version (426 if too old).</t>
  </si>
  <si>
    <t>Plan-specific branding before login.</t>
  </si>
  <si>
    <t>OpenAPI 3 spec for all mobile2 endpoints (JSON format).</t>
  </si>
  <si>
    <t>API docs, Postman import, codegen.</t>
  </si>
  <si>
    <t>/v1/openapi.yaml</t>
  </si>
  <si>
    <t>OpenAPI 3 spec for all mobile2 endpoints (YAML format).</t>
  </si>
  <si>
    <t>Secure token / certificate public key (shared library).</t>
  </si>
  <si>
    <t>App encryption setup.</t>
  </si>
  <si>
    <t>Build info for mobile2 + all downstream services.</t>
  </si>
  <si>
    <t>📱 Mobile App Flow - API Sequence (Mobile1 + Mobile2)</t>
  </si>
  <si>
    <t>Typical sequence of API calls during a mobile app session using both Mobile1 and Mobile2 BFFs</t>
  </si>
  <si>
    <t>Pre-Login (Mobile2)</t>
  </si>
  <si>
    <t>GET  /mobile2api/v1/plans  (pick plan)</t>
  </si>
  <si>
    <t>GET  /mobile2api/v1/plans/{planId}  (plan branding)</t>
  </si>
  <si>
    <t>GET  /mobile2api/v1/content?id=...  (tips/help)</t>
  </si>
  <si>
    <t>Login (Mobile1)</t>
  </si>
  <si>
    <t>POST  /mobile1api/v1/mobilemembersession  → jwtToken</t>
  </si>
  <si>
    <t>POST  /mobile1api/v1/idptokenexchange  (IDP plans)</t>
  </si>
  <si>
    <t>GET  /mobile2api/v1/mobiledashboard  → ext, seqAcctId, bankId</t>
  </si>
  <si>
    <t>GET  /mobile2api/v1/mobileytdsummary/{ext}</t>
  </si>
  <si>
    <t>GET  /mobile2api/v1/mobilestackup/{planId}</t>
  </si>
  <si>
    <t>GET  /mobile2api/v1/mobileactivity/{ext}  → contributionId</t>
  </si>
  <si>
    <t>GET  /mobile2api/v1/mobiletransactionhistory/{ext}</t>
  </si>
  <si>
    <t>GET  /mobile2api/v1/investments/{ext}</t>
  </si>
  <si>
    <t>Performance</t>
  </si>
  <si>
    <t>GET  /mobile2api/v1/mobileperformance/{ext}</t>
  </si>
  <si>
    <t>GET  /mobile2api/v1/mobilebalancetrend/{ext}</t>
  </si>
  <si>
    <t>Bank Management</t>
  </si>
  <si>
    <t>GET  /mobile2api/v1/mobilebanks  → bankId</t>
  </si>
  <si>
    <t>POST  /mobile2api/v1/mobilebanks  (link new)</t>
  </si>
  <si>
    <t>PUT  /mobile2api/v1/mobilebanks  (update)</t>
  </si>
  <si>
    <t>DELETE  /mobile2api/v1/mobilebanks  (unlink)</t>
  </si>
  <si>
    <t>GET  /mobile2api/v1/mobilecontributioncheck</t>
  </si>
  <si>
    <t>GET  /mobile2api/v1/mobilecontribution</t>
  </si>
  <si>
    <t>POST  /mobile2api/v1/mobilecontribution  (create)</t>
  </si>
  <si>
    <t>PUT  /mobile2api/v1/mobilecontribution/{ext}/{id}  (update)</t>
  </si>
  <si>
    <t>DELETE  /mobile2api/v1/mobilecontribution/{ext}/{id}  (cancel)</t>
  </si>
  <si>
    <t>GET  /mobile2api/v1/mobileugift</t>
  </si>
  <si>
    <t>PATCH  /mobile2api/v1/mobileugift/{ext}  (activate)</t>
  </si>
  <si>
    <t>Logout (Mobile1)</t>
  </si>
  <si>
    <t>PATCH  /mobile1api/v1/mobilemembersession/{id}</t>
  </si>
  <si>
    <t>Partial update / activate /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</si>
</sst>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rgb="FF1F4E7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name val="Consolas"/>
      <family val="3"/>
    </font>
    <font>
      <b/>
      <sz val="9"/>
      <color theme="1"/>
      <name val="Aptos Narrow"/>
      <family val="2"/>
      <scheme val="minor"/>
    </font>
    <font>
      <b/>
      <sz val="18"/>
      <color rgb="FF1F4E79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3"/>
      <color rgb="FF4CAF50"/>
      <name val="Aptos Narrow"/>
      <family val="2"/>
      <scheme val="minor"/>
    </font>
    <font>
      <sz val="10"/>
      <color theme="1"/>
      <name val="Consolas"/>
      <family val="3"/>
    </font>
    <font>
      <sz val="12"/>
      <color rgb="FF999999"/>
      <name val="Aptos Narrow"/>
      <family val="2"/>
      <scheme val="minor"/>
    </font>
    <font>
      <b/>
      <sz val="13"/>
      <color rgb="FF2196F3"/>
      <name val="Aptos Narrow"/>
      <family val="2"/>
      <scheme val="minor"/>
    </font>
    <font>
      <b/>
      <sz val="13"/>
      <color rgb="FFFF9800"/>
      <name val="Aptos Narrow"/>
      <family val="2"/>
      <scheme val="minor"/>
    </font>
    <font>
      <b/>
      <sz val="13"/>
      <color rgb="FF9C27B0"/>
      <name val="Aptos Narrow"/>
      <family val="2"/>
      <scheme val="minor"/>
    </font>
    <font>
      <b/>
      <sz val="13"/>
      <color rgb="FF00BCD4"/>
      <name val="Aptos Narrow"/>
      <family val="2"/>
      <scheme val="minor"/>
    </font>
    <font>
      <b/>
      <sz val="13"/>
      <color rgb="FFFF5722"/>
      <name val="Aptos Narrow"/>
      <family val="2"/>
      <scheme val="minor"/>
    </font>
    <font>
      <b/>
      <sz val="13"/>
      <color rgb="FF607D8B"/>
      <name val="Aptos Narrow"/>
      <family val="2"/>
      <scheme val="minor"/>
    </font>
    <font>
      <b/>
      <sz val="13"/>
      <color rgb="FF3F51B5"/>
      <name val="Aptos Narrow"/>
      <family val="2"/>
      <scheme val="minor"/>
    </font>
    <font>
      <b/>
      <sz val="13"/>
      <color rgb="FFF44336"/>
      <name val="Aptos Narrow"/>
      <family val="2"/>
      <scheme val="minor"/>
    </font>
    <font>
      <b/>
      <sz val="11"/>
      <color rgb="FF4CAF50"/>
      <name val="Consolas"/>
      <family val="3"/>
    </font>
    <font>
      <sz val="10"/>
      <color theme="1"/>
      <name val="Aptos Narrow"/>
      <family val="2"/>
      <scheme val="minor"/>
    </font>
    <font>
      <b/>
      <sz val="11"/>
      <color rgb="FF2196F3"/>
      <name val="Consolas"/>
      <family val="3"/>
    </font>
    <font>
      <b/>
      <sz val="11"/>
      <color rgb="FFFF9800"/>
      <name val="Consolas"/>
      <family val="3"/>
    </font>
    <font>
      <b/>
      <sz val="11"/>
      <color rgb="FF9C27B0"/>
      <name val="Consolas"/>
      <family val="3"/>
    </font>
    <font>
      <b/>
      <sz val="11"/>
      <color rgb="FFF44336"/>
      <name val="Consolas"/>
      <family val="3"/>
    </font>
    <font>
      <i/>
      <sz val="10"/>
      <color rgb="FF666666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i/>
      <sz val="11"/>
      <color rgb="FF1F4E79"/>
      <name val="Aptos Narrow"/>
      <family val="2"/>
      <scheme val="minor"/>
    </font>
    <font>
      <b/>
      <sz val="12"/>
      <color rgb="FF1F4E79"/>
      <name val="Aptos Narrow"/>
      <family val="2"/>
      <scheme val="minor"/>
    </font>
    <font>
      <b/>
      <sz val="11"/>
      <color rgb="FF1F4E79"/>
      <name val="Aptos Narrow"/>
      <family val="2"/>
      <scheme val="minor"/>
    </font>
    <font>
      <b/>
      <sz val="12"/>
      <color rgb="FF2E75B6"/>
      <name val="Aptos Narrow"/>
      <family val="2"/>
      <scheme val="minor"/>
    </font>
    <font>
      <b/>
      <sz val="14"/>
      <color rgb="FF538135"/>
      <name val="Aptos Narrow"/>
      <family val="2"/>
      <scheme val="minor"/>
    </font>
    <font>
      <b/>
      <sz val="14"/>
      <color rgb="FFBF8F00"/>
      <name val="Aptos Narrow"/>
      <family val="2"/>
      <scheme val="minor"/>
    </font>
    <font>
      <b/>
      <sz val="14"/>
      <color rgb="FF2E75B6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color rgb="FF80600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rgb="FF404040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2196F3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9C27B0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00BCD4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5722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607D8B"/>
        <bgColor indexed="64"/>
      </patternFill>
    </fill>
    <fill>
      <patternFill patternType="solid">
        <fgColor rgb="FFECEFF1"/>
        <bgColor indexed="64"/>
      </patternFill>
    </fill>
    <fill>
      <patternFill patternType="solid">
        <fgColor rgb="FF3F51B5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F44336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2D5F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5911"/>
        <bgColor indexed="64"/>
      </patternFill>
    </fill>
  </fills>
  <borders count="51">
    <border>
      <left/>
      <right/>
      <top/>
      <bottom/>
      <diagonal/>
    </border>
    <border>
      <left style="medium">
        <color rgb="FF4CAF50"/>
      </left>
      <right/>
      <top/>
      <bottom/>
      <diagonal/>
    </border>
    <border>
      <left/>
      <right style="medium">
        <color rgb="FF4CAF50"/>
      </right>
      <top/>
      <bottom/>
      <diagonal/>
    </border>
    <border>
      <left style="medium">
        <color rgb="FF2196F3"/>
      </left>
      <right/>
      <top/>
      <bottom/>
      <diagonal/>
    </border>
    <border>
      <left/>
      <right style="medium">
        <color rgb="FF2196F3"/>
      </right>
      <top/>
      <bottom/>
      <diagonal/>
    </border>
    <border>
      <left style="medium">
        <color rgb="FFFF9800"/>
      </left>
      <right/>
      <top/>
      <bottom/>
      <diagonal/>
    </border>
    <border>
      <left/>
      <right style="medium">
        <color rgb="FFFF9800"/>
      </right>
      <top/>
      <bottom/>
      <diagonal/>
    </border>
    <border>
      <left style="medium">
        <color rgb="FF9C27B0"/>
      </left>
      <right/>
      <top/>
      <bottom/>
      <diagonal/>
    </border>
    <border>
      <left/>
      <right style="medium">
        <color rgb="FF9C27B0"/>
      </right>
      <top/>
      <bottom/>
      <diagonal/>
    </border>
    <border>
      <left style="medium">
        <color rgb="FF00BCD4"/>
      </left>
      <right/>
      <top/>
      <bottom/>
      <diagonal/>
    </border>
    <border>
      <left style="medium">
        <color rgb="FFFF5722"/>
      </left>
      <right/>
      <top/>
      <bottom/>
      <diagonal/>
    </border>
    <border>
      <left style="medium">
        <color rgb="FF607D8B"/>
      </left>
      <right/>
      <top/>
      <bottom/>
      <diagonal/>
    </border>
    <border>
      <left/>
      <right style="medium">
        <color rgb="FF607D8B"/>
      </right>
      <top/>
      <bottom/>
      <diagonal/>
    </border>
    <border>
      <left style="medium">
        <color rgb="FF3F51B5"/>
      </left>
      <right/>
      <top/>
      <bottom/>
      <diagonal/>
    </border>
    <border>
      <left/>
      <right style="medium">
        <color rgb="FF3F51B5"/>
      </right>
      <top/>
      <bottom/>
      <diagonal/>
    </border>
    <border>
      <left style="medium">
        <color rgb="FFF44336"/>
      </left>
      <right/>
      <top/>
      <bottom/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/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D0D0D0"/>
      </right>
      <top style="thin">
        <color rgb="FF808080"/>
      </top>
      <bottom style="thin">
        <color rgb="FFD0D0D0"/>
      </bottom>
      <diagonal/>
    </border>
    <border>
      <left style="thin">
        <color rgb="FFD0D0D0"/>
      </left>
      <right style="thin">
        <color rgb="FF808080"/>
      </right>
      <top style="thin">
        <color rgb="FF808080"/>
      </top>
      <bottom style="thin">
        <color rgb="FFD0D0D0"/>
      </bottom>
      <diagonal/>
    </border>
    <border>
      <left style="thin">
        <color rgb="FF80808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808080"/>
      </right>
      <top style="thin">
        <color rgb="FFD0D0D0"/>
      </top>
      <bottom style="thin">
        <color rgb="FFD0D0D0"/>
      </bottom>
      <diagonal/>
    </border>
    <border>
      <left style="thin">
        <color rgb="FF808080"/>
      </left>
      <right style="thin">
        <color rgb="FFD0D0D0"/>
      </right>
      <top style="thin">
        <color rgb="FFD0D0D0"/>
      </top>
      <bottom style="thin">
        <color rgb="FF808080"/>
      </bottom>
      <diagonal/>
    </border>
    <border>
      <left style="thin">
        <color rgb="FFD0D0D0"/>
      </left>
      <right style="thin">
        <color rgb="FF808080"/>
      </right>
      <top style="thin">
        <color rgb="FFD0D0D0"/>
      </top>
      <bottom style="thin">
        <color rgb="FF808080"/>
      </bottom>
      <diagonal/>
    </border>
    <border>
      <left style="thin">
        <color rgb="FF1F4E79"/>
      </left>
      <right style="thin">
        <color rgb="FF9DC3E6"/>
      </right>
      <top style="thin">
        <color rgb="FF1F4E79"/>
      </top>
      <bottom style="thin">
        <color rgb="FF9DC3E6"/>
      </bottom>
      <diagonal/>
    </border>
    <border>
      <left style="thin">
        <color rgb="FF9DC3E6"/>
      </left>
      <right style="thin">
        <color rgb="FF1F4E79"/>
      </right>
      <top style="thin">
        <color rgb="FF1F4E79"/>
      </top>
      <bottom style="thin">
        <color rgb="FF9DC3E6"/>
      </bottom>
      <diagonal/>
    </border>
    <border>
      <left style="thin">
        <color rgb="FF1F4E79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thin">
        <color rgb="FF1F4E79"/>
      </right>
      <top style="thin">
        <color rgb="FF9DC3E6"/>
      </top>
      <bottom style="thin">
        <color rgb="FF9DC3E6"/>
      </bottom>
      <diagonal/>
    </border>
    <border>
      <left style="thin">
        <color rgb="FF1F4E79"/>
      </left>
      <right style="thin">
        <color rgb="FF9DC3E6"/>
      </right>
      <top style="thin">
        <color rgb="FF9DC3E6"/>
      </top>
      <bottom style="thin">
        <color rgb="FF1F4E79"/>
      </bottom>
      <diagonal/>
    </border>
    <border>
      <left style="thin">
        <color rgb="FF9DC3E6"/>
      </left>
      <right style="thin">
        <color rgb="FF1F4E79"/>
      </right>
      <top style="thin">
        <color rgb="FF9DC3E6"/>
      </top>
      <bottom style="thin">
        <color rgb="FF1F4E79"/>
      </bottom>
      <diagonal/>
    </border>
    <border>
      <left style="thin">
        <color rgb="FF538135"/>
      </left>
      <right style="thin">
        <color rgb="FFA9D08E"/>
      </right>
      <top style="thin">
        <color rgb="FF538135"/>
      </top>
      <bottom style="thin">
        <color rgb="FFA9D08E"/>
      </bottom>
      <diagonal/>
    </border>
    <border>
      <left style="thin">
        <color rgb="FFA9D08E"/>
      </left>
      <right style="thin">
        <color rgb="FF538135"/>
      </right>
      <top style="thin">
        <color rgb="FF538135"/>
      </top>
      <bottom style="thin">
        <color rgb="FFA9D08E"/>
      </bottom>
      <diagonal/>
    </border>
    <border>
      <left style="thin">
        <color rgb="FF538135"/>
      </left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rgb="FFA9D08E"/>
      </left>
      <right style="thin">
        <color rgb="FF538135"/>
      </right>
      <top style="thin">
        <color rgb="FFA9D08E"/>
      </top>
      <bottom style="thin">
        <color rgb="FFA9D08E"/>
      </bottom>
      <diagonal/>
    </border>
    <border>
      <left style="thin">
        <color rgb="FF538135"/>
      </left>
      <right style="thin">
        <color rgb="FFA9D08E"/>
      </right>
      <top style="thin">
        <color rgb="FFA9D08E"/>
      </top>
      <bottom style="thin">
        <color rgb="FF538135"/>
      </bottom>
      <diagonal/>
    </border>
    <border>
      <left style="thin">
        <color rgb="FFA9D08E"/>
      </left>
      <right style="thin">
        <color rgb="FF538135"/>
      </right>
      <top style="thin">
        <color rgb="FFA9D08E"/>
      </top>
      <bottom style="thin">
        <color rgb="FF538135"/>
      </bottom>
      <diagonal/>
    </border>
    <border>
      <left style="thin">
        <color rgb="FFC65911"/>
      </left>
      <right style="thin">
        <color rgb="FFF4B084"/>
      </right>
      <top style="thin">
        <color rgb="FFC65911"/>
      </top>
      <bottom style="thin">
        <color rgb="FFF4B084"/>
      </bottom>
      <diagonal/>
    </border>
    <border>
      <left style="thin">
        <color rgb="FFF4B084"/>
      </left>
      <right style="thin">
        <color rgb="FFC65911"/>
      </right>
      <top style="thin">
        <color rgb="FFC65911"/>
      </top>
      <bottom style="thin">
        <color rgb="FFF4B084"/>
      </bottom>
      <diagonal/>
    </border>
    <border>
      <left style="thin">
        <color rgb="FFC65911"/>
      </left>
      <right style="thin">
        <color rgb="FFF4B084"/>
      </right>
      <top style="thin">
        <color rgb="FFF4B084"/>
      </top>
      <bottom style="thin">
        <color rgb="FFF4B084"/>
      </bottom>
      <diagonal/>
    </border>
    <border>
      <left style="thin">
        <color rgb="FFF4B084"/>
      </left>
      <right style="thin">
        <color rgb="FFC65911"/>
      </right>
      <top style="thin">
        <color rgb="FFF4B084"/>
      </top>
      <bottom style="thin">
        <color rgb="FFF4B084"/>
      </bottom>
      <diagonal/>
    </border>
    <border>
      <left style="thin">
        <color rgb="FFC65911"/>
      </left>
      <right style="thin">
        <color rgb="FFF4B084"/>
      </right>
      <top style="thin">
        <color rgb="FFF4B084"/>
      </top>
      <bottom style="thin">
        <color rgb="FFC65911"/>
      </bottom>
      <diagonal/>
    </border>
    <border>
      <left style="thin">
        <color rgb="FFF4B084"/>
      </left>
      <right style="thin">
        <color rgb="FFC65911"/>
      </right>
      <top style="thin">
        <color rgb="FFF4B084"/>
      </top>
      <bottom style="thin">
        <color rgb="FFC6591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3" fillId="0" borderId="0" xfId="0" applyFont="1"/>
    <xf numFmtId="0" fontId="1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0" fillId="0" borderId="0" xfId="0"/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5" fillId="6" borderId="1" xfId="0" applyFont="1" applyFill="1" applyBorder="1" applyAlignment="1">
      <alignment vertical="center"/>
    </xf>
    <xf numFmtId="0" fontId="13" fillId="5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5" fillId="8" borderId="3" xfId="0" applyFont="1" applyFill="1" applyBorder="1" applyAlignment="1">
      <alignment vertical="center"/>
    </xf>
    <xf numFmtId="0" fontId="13" fillId="7" borderId="0" xfId="0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15" fillId="10" borderId="5" xfId="0" applyFont="1" applyFill="1" applyBorder="1" applyAlignment="1">
      <alignment vertical="center"/>
    </xf>
    <xf numFmtId="0" fontId="13" fillId="9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15" fillId="12" borderId="7" xfId="0" applyFont="1" applyFill="1" applyBorder="1" applyAlignment="1">
      <alignment vertical="center"/>
    </xf>
    <xf numFmtId="0" fontId="13" fillId="11" borderId="0" xfId="0" applyFont="1" applyFill="1" applyAlignment="1">
      <alignment horizontal="center" vertical="center"/>
    </xf>
    <xf numFmtId="0" fontId="19" fillId="0" borderId="0" xfId="0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0" fontId="15" fillId="14" borderId="9" xfId="0" applyFont="1" applyFill="1" applyBorder="1" applyAlignment="1">
      <alignment vertical="center"/>
    </xf>
    <xf numFmtId="0" fontId="13" fillId="15" borderId="0" xfId="0" applyFont="1" applyFill="1" applyAlignment="1">
      <alignment horizontal="center" vertical="center"/>
    </xf>
    <xf numFmtId="0" fontId="21" fillId="0" borderId="0" xfId="0" applyFont="1" applyAlignment="1">
      <alignment vertical="center"/>
    </xf>
    <xf numFmtId="0" fontId="15" fillId="16" borderId="10" xfId="0" applyFont="1" applyFill="1" applyBorder="1" applyAlignment="1">
      <alignment vertical="center"/>
    </xf>
    <xf numFmtId="0" fontId="15" fillId="18" borderId="11" xfId="0" applyFont="1" applyFill="1" applyBorder="1" applyAlignment="1">
      <alignment vertical="center"/>
    </xf>
    <xf numFmtId="0" fontId="13" fillId="17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15" fillId="20" borderId="13" xfId="0" applyFont="1" applyFill="1" applyBorder="1" applyAlignment="1">
      <alignment vertical="center"/>
    </xf>
    <xf numFmtId="0" fontId="13" fillId="19" borderId="0" xfId="0" applyFont="1" applyFill="1" applyAlignment="1">
      <alignment horizontal="center" vertical="center"/>
    </xf>
    <xf numFmtId="0" fontId="23" fillId="0" borderId="0" xfId="0" applyFont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13" fillId="21" borderId="0" xfId="0" applyFont="1" applyFill="1" applyAlignment="1">
      <alignment horizontal="center" vertical="center"/>
    </xf>
    <xf numFmtId="0" fontId="24" fillId="0" borderId="0" xfId="0" applyFont="1" applyAlignment="1">
      <alignment vertical="center"/>
    </xf>
    <xf numFmtId="0" fontId="15" fillId="22" borderId="15" xfId="0" applyFont="1" applyFill="1" applyBorder="1" applyAlignment="1">
      <alignment vertical="center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0" fillId="0" borderId="0" xfId="0" applyAlignment="1">
      <alignment horizontal="center"/>
    </xf>
    <xf numFmtId="0" fontId="13" fillId="2" borderId="0" xfId="0" applyFont="1" applyFill="1" applyAlignment="1">
      <alignment horizontal="center"/>
    </xf>
    <xf numFmtId="0" fontId="33" fillId="23" borderId="0" xfId="0" applyFont="1" applyFill="1"/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0" fillId="32" borderId="0" xfId="0" applyFill="1"/>
    <xf numFmtId="0" fontId="11" fillId="32" borderId="0" xfId="0" applyFont="1" applyFill="1"/>
    <xf numFmtId="0" fontId="1" fillId="24" borderId="0" xfId="0" applyFont="1" applyFill="1" applyBorder="1"/>
    <xf numFmtId="0" fontId="0" fillId="24" borderId="0" xfId="0" applyFill="1" applyBorder="1" applyAlignment="1">
      <alignment horizontal="center"/>
    </xf>
    <xf numFmtId="0" fontId="35" fillId="24" borderId="16" xfId="0" applyFont="1" applyFill="1" applyBorder="1"/>
    <xf numFmtId="0" fontId="36" fillId="24" borderId="16" xfId="0" applyFont="1" applyFill="1" applyBorder="1" applyAlignment="1">
      <alignment horizontal="center"/>
    </xf>
    <xf numFmtId="0" fontId="1" fillId="24" borderId="18" xfId="0" applyFont="1" applyFill="1" applyBorder="1"/>
    <xf numFmtId="0" fontId="0" fillId="24" borderId="18" xfId="0" applyFill="1" applyBorder="1" applyAlignment="1">
      <alignment horizontal="center"/>
    </xf>
    <xf numFmtId="0" fontId="34" fillId="24" borderId="20" xfId="0" applyFont="1" applyFill="1" applyBorder="1" applyAlignment="1">
      <alignment horizontal="center"/>
    </xf>
    <xf numFmtId="0" fontId="1" fillId="24" borderId="21" xfId="0" applyFont="1" applyFill="1" applyBorder="1" applyAlignment="1">
      <alignment horizontal="center"/>
    </xf>
    <xf numFmtId="0" fontId="1" fillId="24" borderId="22" xfId="0" applyFont="1" applyFill="1" applyBorder="1" applyAlignment="1">
      <alignment horizontal="center"/>
    </xf>
    <xf numFmtId="0" fontId="0" fillId="24" borderId="23" xfId="0" applyFill="1" applyBorder="1"/>
    <xf numFmtId="0" fontId="0" fillId="24" borderId="24" xfId="0" applyFill="1" applyBorder="1"/>
    <xf numFmtId="0" fontId="0" fillId="24" borderId="25" xfId="0" applyFill="1" applyBorder="1"/>
    <xf numFmtId="0" fontId="35" fillId="25" borderId="16" xfId="0" applyFont="1" applyFill="1" applyBorder="1"/>
    <xf numFmtId="0" fontId="36" fillId="25" borderId="16" xfId="0" applyFont="1" applyFill="1" applyBorder="1" applyAlignment="1">
      <alignment horizontal="center"/>
    </xf>
    <xf numFmtId="0" fontId="1" fillId="25" borderId="18" xfId="0" applyFont="1" applyFill="1" applyBorder="1"/>
    <xf numFmtId="0" fontId="0" fillId="25" borderId="18" xfId="0" applyFill="1" applyBorder="1" applyAlignment="1">
      <alignment horizontal="center"/>
    </xf>
    <xf numFmtId="0" fontId="34" fillId="25" borderId="20" xfId="0" applyFont="1" applyFill="1" applyBorder="1" applyAlignment="1">
      <alignment horizontal="center"/>
    </xf>
    <xf numFmtId="0" fontId="1" fillId="25" borderId="22" xfId="0" applyFont="1" applyFill="1" applyBorder="1" applyAlignment="1">
      <alignment horizontal="center"/>
    </xf>
    <xf numFmtId="0" fontId="0" fillId="25" borderId="23" xfId="0" applyFill="1" applyBorder="1"/>
    <xf numFmtId="0" fontId="0" fillId="25" borderId="25" xfId="0" applyFill="1" applyBorder="1"/>
    <xf numFmtId="0" fontId="1" fillId="26" borderId="0" xfId="0" applyFont="1" applyFill="1" applyBorder="1"/>
    <xf numFmtId="0" fontId="0" fillId="26" borderId="0" xfId="0" applyFill="1" applyBorder="1" applyAlignment="1">
      <alignment horizontal="center"/>
    </xf>
    <xf numFmtId="0" fontId="35" fillId="26" borderId="16" xfId="0" applyFont="1" applyFill="1" applyBorder="1"/>
    <xf numFmtId="0" fontId="36" fillId="26" borderId="16" xfId="0" applyFont="1" applyFill="1" applyBorder="1" applyAlignment="1">
      <alignment horizontal="center"/>
    </xf>
    <xf numFmtId="0" fontId="1" fillId="26" borderId="18" xfId="0" applyFont="1" applyFill="1" applyBorder="1"/>
    <xf numFmtId="0" fontId="0" fillId="26" borderId="18" xfId="0" applyFill="1" applyBorder="1" applyAlignment="1">
      <alignment horizontal="center"/>
    </xf>
    <xf numFmtId="0" fontId="34" fillId="26" borderId="20" xfId="0" applyFont="1" applyFill="1" applyBorder="1" applyAlignment="1">
      <alignment horizontal="center"/>
    </xf>
    <xf numFmtId="0" fontId="1" fillId="26" borderId="21" xfId="0" applyFont="1" applyFill="1" applyBorder="1" applyAlignment="1">
      <alignment horizontal="center"/>
    </xf>
    <xf numFmtId="0" fontId="1" fillId="26" borderId="22" xfId="0" applyFont="1" applyFill="1" applyBorder="1" applyAlignment="1">
      <alignment horizontal="center"/>
    </xf>
    <xf numFmtId="0" fontId="0" fillId="26" borderId="23" xfId="0" applyFill="1" applyBorder="1"/>
    <xf numFmtId="0" fontId="0" fillId="26" borderId="24" xfId="0" applyFill="1" applyBorder="1"/>
    <xf numFmtId="0" fontId="0" fillId="26" borderId="25" xfId="0" applyFill="1" applyBorder="1"/>
    <xf numFmtId="0" fontId="35" fillId="27" borderId="17" xfId="0" applyFont="1" applyFill="1" applyBorder="1"/>
    <xf numFmtId="0" fontId="36" fillId="27" borderId="17" xfId="0" applyFont="1" applyFill="1" applyBorder="1" applyAlignment="1">
      <alignment horizontal="center"/>
    </xf>
    <xf numFmtId="0" fontId="34" fillId="27" borderId="19" xfId="0" applyFont="1" applyFill="1" applyBorder="1" applyAlignment="1">
      <alignment horizontal="center"/>
    </xf>
    <xf numFmtId="0" fontId="0" fillId="27" borderId="26" xfId="0" applyFill="1" applyBorder="1"/>
    <xf numFmtId="0" fontId="4" fillId="2" borderId="27" xfId="0" applyFont="1" applyFill="1" applyBorder="1"/>
    <xf numFmtId="0" fontId="0" fillId="0" borderId="28" xfId="0" applyBorder="1"/>
    <xf numFmtId="0" fontId="40" fillId="28" borderId="29" xfId="0" applyFont="1" applyFill="1" applyBorder="1"/>
    <xf numFmtId="0" fontId="0" fillId="28" borderId="30" xfId="0" applyFill="1" applyBorder="1"/>
    <xf numFmtId="0" fontId="35" fillId="23" borderId="29" xfId="0" applyFont="1" applyFill="1" applyBorder="1"/>
    <xf numFmtId="0" fontId="0" fillId="23" borderId="30" xfId="0" applyFill="1" applyBorder="1"/>
    <xf numFmtId="0" fontId="41" fillId="29" borderId="29" xfId="0" applyFont="1" applyFill="1" applyBorder="1"/>
    <xf numFmtId="0" fontId="0" fillId="29" borderId="30" xfId="0" applyFill="1" applyBorder="1"/>
    <xf numFmtId="0" fontId="42" fillId="30" borderId="29" xfId="0" applyFont="1" applyFill="1" applyBorder="1"/>
    <xf numFmtId="0" fontId="0" fillId="30" borderId="30" xfId="0" applyFill="1" applyBorder="1"/>
    <xf numFmtId="0" fontId="32" fillId="31" borderId="31" xfId="0" applyFont="1" applyFill="1" applyBorder="1"/>
    <xf numFmtId="0" fontId="0" fillId="31" borderId="32" xfId="0" applyFill="1" applyBorder="1"/>
    <xf numFmtId="0" fontId="4" fillId="2" borderId="33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33" borderId="35" xfId="0" applyFont="1" applyFill="1" applyBorder="1"/>
    <xf numFmtId="0" fontId="4" fillId="33" borderId="36" xfId="0" applyFont="1" applyFill="1" applyBorder="1"/>
    <xf numFmtId="0" fontId="0" fillId="26" borderId="35" xfId="0" applyFill="1" applyBorder="1"/>
    <xf numFmtId="0" fontId="0" fillId="23" borderId="35" xfId="0" applyFill="1" applyBorder="1"/>
    <xf numFmtId="0" fontId="4" fillId="2" borderId="37" xfId="0" applyFont="1" applyFill="1" applyBorder="1"/>
    <xf numFmtId="0" fontId="4" fillId="34" borderId="39" xfId="0" applyFont="1" applyFill="1" applyBorder="1" applyAlignment="1">
      <alignment horizontal="center"/>
    </xf>
    <xf numFmtId="0" fontId="4" fillId="34" borderId="40" xfId="0" applyFont="1" applyFill="1" applyBorder="1" applyAlignment="1">
      <alignment horizontal="center"/>
    </xf>
    <xf numFmtId="0" fontId="4" fillId="3" borderId="41" xfId="0" applyFont="1" applyFill="1" applyBorder="1"/>
    <xf numFmtId="0" fontId="4" fillId="3" borderId="42" xfId="0" applyFont="1" applyFill="1" applyBorder="1"/>
    <xf numFmtId="0" fontId="40" fillId="28" borderId="41" xfId="0" applyFont="1" applyFill="1" applyBorder="1"/>
    <xf numFmtId="0" fontId="35" fillId="23" borderId="41" xfId="0" applyFont="1" applyFill="1" applyBorder="1"/>
    <xf numFmtId="0" fontId="41" fillId="29" borderId="41" xfId="0" applyFont="1" applyFill="1" applyBorder="1"/>
    <xf numFmtId="0" fontId="42" fillId="30" borderId="41" xfId="0" applyFont="1" applyFill="1" applyBorder="1"/>
    <xf numFmtId="0" fontId="32" fillId="31" borderId="41" xfId="0" applyFont="1" applyFill="1" applyBorder="1"/>
    <xf numFmtId="0" fontId="43" fillId="35" borderId="41" xfId="0" applyFont="1" applyFill="1" applyBorder="1"/>
    <xf numFmtId="0" fontId="4" fillId="34" borderId="43" xfId="0" applyFont="1" applyFill="1" applyBorder="1"/>
    <xf numFmtId="0" fontId="4" fillId="36" borderId="45" xfId="0" applyFont="1" applyFill="1" applyBorder="1" applyAlignment="1">
      <alignment horizontal="center"/>
    </xf>
    <xf numFmtId="0" fontId="4" fillId="36" borderId="46" xfId="0" applyFont="1" applyFill="1" applyBorder="1" applyAlignment="1">
      <alignment horizontal="center"/>
    </xf>
    <xf numFmtId="0" fontId="4" fillId="4" borderId="47" xfId="0" applyFont="1" applyFill="1" applyBorder="1"/>
    <xf numFmtId="0" fontId="4" fillId="4" borderId="48" xfId="0" applyFont="1" applyFill="1" applyBorder="1"/>
    <xf numFmtId="0" fontId="40" fillId="28" borderId="47" xfId="0" applyFont="1" applyFill="1" applyBorder="1"/>
    <xf numFmtId="0" fontId="41" fillId="29" borderId="47" xfId="0" applyFont="1" applyFill="1" applyBorder="1"/>
    <xf numFmtId="0" fontId="42" fillId="30" borderId="47" xfId="0" applyFont="1" applyFill="1" applyBorder="1"/>
    <xf numFmtId="0" fontId="32" fillId="31" borderId="47" xfId="0" applyFont="1" applyFill="1" applyBorder="1"/>
    <xf numFmtId="0" fontId="4" fillId="36" borderId="49" xfId="0" applyFont="1" applyFill="1" applyBorder="1"/>
    <xf numFmtId="0" fontId="0" fillId="26" borderId="36" xfId="0" applyFill="1" applyBorder="1" applyAlignment="1">
      <alignment horizontal="center"/>
    </xf>
    <xf numFmtId="0" fontId="0" fillId="23" borderId="36" xfId="0" applyFill="1" applyBorder="1" applyAlignment="1">
      <alignment horizontal="center"/>
    </xf>
    <xf numFmtId="0" fontId="4" fillId="2" borderId="38" xfId="0" applyFont="1" applyFill="1" applyBorder="1" applyAlignment="1">
      <alignment horizontal="center"/>
    </xf>
    <xf numFmtId="0" fontId="0" fillId="28" borderId="42" xfId="0" applyFill="1" applyBorder="1" applyAlignment="1">
      <alignment horizontal="center"/>
    </xf>
    <xf numFmtId="0" fontId="0" fillId="23" borderId="42" xfId="0" applyFill="1" applyBorder="1" applyAlignment="1">
      <alignment horizontal="center"/>
    </xf>
    <xf numFmtId="0" fontId="0" fillId="29" borderId="42" xfId="0" applyFill="1" applyBorder="1" applyAlignment="1">
      <alignment horizontal="center"/>
    </xf>
    <xf numFmtId="0" fontId="0" fillId="30" borderId="42" xfId="0" applyFill="1" applyBorder="1" applyAlignment="1">
      <alignment horizontal="center"/>
    </xf>
    <xf numFmtId="0" fontId="0" fillId="31" borderId="42" xfId="0" applyFill="1" applyBorder="1" applyAlignment="1">
      <alignment horizontal="center"/>
    </xf>
    <xf numFmtId="0" fontId="0" fillId="35" borderId="42" xfId="0" applyFill="1" applyBorder="1" applyAlignment="1">
      <alignment horizontal="center"/>
    </xf>
    <xf numFmtId="0" fontId="4" fillId="34" borderId="44" xfId="0" applyFont="1" applyFill="1" applyBorder="1" applyAlignment="1">
      <alignment horizontal="center"/>
    </xf>
    <xf numFmtId="0" fontId="0" fillId="28" borderId="48" xfId="0" applyFill="1" applyBorder="1" applyAlignment="1">
      <alignment horizontal="center"/>
    </xf>
    <xf numFmtId="0" fontId="0" fillId="29" borderId="48" xfId="0" applyFill="1" applyBorder="1" applyAlignment="1">
      <alignment horizontal="center"/>
    </xf>
    <xf numFmtId="0" fontId="0" fillId="30" borderId="48" xfId="0" applyFill="1" applyBorder="1" applyAlignment="1">
      <alignment horizontal="center"/>
    </xf>
    <xf numFmtId="0" fontId="0" fillId="31" borderId="48" xfId="0" applyFill="1" applyBorder="1" applyAlignment="1">
      <alignment horizontal="center"/>
    </xf>
    <xf numFmtId="0" fontId="4" fillId="36" borderId="50" xfId="0" applyFont="1" applyFill="1" applyBorder="1" applyAlignment="1">
      <alignment horizontal="center"/>
    </xf>
    <xf numFmtId="0" fontId="44" fillId="2" borderId="33" xfId="0" applyFont="1" applyFill="1" applyBorder="1" applyAlignment="1">
      <alignment horizontal="center"/>
    </xf>
    <xf numFmtId="0" fontId="44" fillId="2" borderId="34" xfId="0" applyFont="1" applyFill="1" applyBorder="1" applyAlignment="1">
      <alignment horizontal="center"/>
    </xf>
    <xf numFmtId="0" fontId="44" fillId="34" borderId="39" xfId="0" applyFont="1" applyFill="1" applyBorder="1" applyAlignment="1">
      <alignment horizontal="center"/>
    </xf>
    <xf numFmtId="0" fontId="44" fillId="34" borderId="40" xfId="0" applyFont="1" applyFill="1" applyBorder="1" applyAlignment="1">
      <alignment horizontal="center"/>
    </xf>
    <xf numFmtId="0" fontId="44" fillId="36" borderId="45" xfId="0" applyFont="1" applyFill="1" applyBorder="1" applyAlignment="1">
      <alignment horizontal="center"/>
    </xf>
    <xf numFmtId="0" fontId="44" fillId="36" borderId="46" xfId="0" applyFont="1" applyFill="1" applyBorder="1" applyAlignment="1">
      <alignment horizontal="center"/>
    </xf>
    <xf numFmtId="0" fontId="35" fillId="23" borderId="47" xfId="0" applyFont="1" applyFill="1" applyBorder="1"/>
    <xf numFmtId="0" fontId="0" fillId="23" borderId="48" xfId="0" applyFill="1" applyBorder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4E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C00B54-84FF-43C6-9DFF-27F70A977747}" name="EndpointsTable" displayName="EndpointsTable" ref="A3:F42" totalsRowShown="0" headerRowDxfId="0">
  <autoFilter ref="A3:F42" xr:uid="{94C00B54-84FF-43C6-9DFF-27F70A977747}"/>
  <tableColumns count="6">
    <tableColumn id="1" xr3:uid="{89EBB234-3728-4E64-BD67-182102A61E74}" name="Category"/>
    <tableColumn id="2" xr3:uid="{0BC24D45-9758-4BCE-8EFE-796912B45C0E}" name="Method"/>
    <tableColumn id="3" xr3:uid="{B85D71EE-93F9-4C40-8E18-79C974FE4CA8}" name="Endpoint"/>
    <tableColumn id="4" xr3:uid="{553AF7D3-2811-46FD-8CE5-9B80FCA997FB}" name="Auth Level"/>
    <tableColumn id="5" xr3:uid="{829474D5-0E05-46C0-868D-784F9F1E72D8}" name="Description"/>
    <tableColumn id="6" xr3:uid="{E57E7BB7-F452-4B0B-A5E6-6E724E4485C7}" name="Use Ca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960D53-836A-4FE2-842E-C0299689F58F}" name="Mobile2EndpointsTable" displayName="Mobile2EndpointsTable" ref="A3:F37" totalsRowShown="0">
  <autoFilter ref="A3:F37" xr:uid="{D2960D53-836A-4FE2-842E-C0299689F58F}"/>
  <tableColumns count="6">
    <tableColumn id="1" xr3:uid="{8EE2CDF6-35F3-4D6C-8911-CE0E151D14FF}" name="Category"/>
    <tableColumn id="2" xr3:uid="{7FCAA053-17E4-4322-9EA8-1DDE2DCA7037}" name="Method"/>
    <tableColumn id="3" xr3:uid="{D9739E96-05F3-41C4-B0BB-B0B5D6DFF73D}" name="Endpoint"/>
    <tableColumn id="4" xr3:uid="{2C387AC5-E160-4047-89AD-260350FEB255}" name="Auth Level"/>
    <tableColumn id="5" xr3:uid="{CE8C27FD-1A7F-4CB2-B2D6-2438C208DBD6}" name="Description"/>
    <tableColumn id="6" xr3:uid="{F3370FD9-15A5-4E7D-91ED-EE7BE704E954}" name="Use C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A7356-53B1-4B9B-880F-68C5A92307FF}">
  <dimension ref="A1:H98"/>
  <sheetViews>
    <sheetView tabSelected="1" topLeftCell="A37" workbookViewId="0">
      <selection activeCell="C54" sqref="C54"/>
    </sheetView>
  </sheetViews>
  <sheetFormatPr defaultRowHeight="14.5" x14ac:dyDescent="0.35"/>
  <cols>
    <col min="1" max="1" width="32.7265625" customWidth="1"/>
    <col min="2" max="2" width="9.08984375" customWidth="1"/>
    <col min="3" max="3" width="58.1796875" customWidth="1"/>
    <col min="4" max="4" width="12.7265625" customWidth="1"/>
    <col min="5" max="5" width="9.08984375" customWidth="1"/>
    <col min="6" max="6" width="50.90625" customWidth="1"/>
    <col min="7" max="7" width="20" customWidth="1"/>
    <col min="8" max="8" width="9.08984375" customWidth="1"/>
  </cols>
  <sheetData>
    <row r="1" spans="1:6" ht="21" x14ac:dyDescent="0.5">
      <c r="A1" s="1" t="s">
        <v>0</v>
      </c>
    </row>
    <row r="3" spans="1:6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3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35">
      <c r="A5" t="s">
        <v>7</v>
      </c>
      <c r="B5" t="s">
        <v>8</v>
      </c>
      <c r="C5" t="s">
        <v>13</v>
      </c>
      <c r="D5" t="s">
        <v>10</v>
      </c>
      <c r="E5" t="s">
        <v>14</v>
      </c>
      <c r="F5" t="s">
        <v>15</v>
      </c>
    </row>
    <row r="6" spans="1:6" x14ac:dyDescent="0.35">
      <c r="A6" t="s">
        <v>7</v>
      </c>
      <c r="B6" t="s">
        <v>8</v>
      </c>
      <c r="C6" t="s">
        <v>16</v>
      </c>
      <c r="D6" t="s">
        <v>17</v>
      </c>
      <c r="E6" t="s">
        <v>18</v>
      </c>
      <c r="F6" t="s">
        <v>19</v>
      </c>
    </row>
    <row r="7" spans="1:6" x14ac:dyDescent="0.35">
      <c r="A7" t="s">
        <v>7</v>
      </c>
      <c r="B7" t="s">
        <v>8</v>
      </c>
      <c r="C7" t="s">
        <v>20</v>
      </c>
      <c r="D7" t="s">
        <v>21</v>
      </c>
      <c r="E7" t="s">
        <v>22</v>
      </c>
      <c r="F7" t="s">
        <v>23</v>
      </c>
    </row>
    <row r="8" spans="1:6" x14ac:dyDescent="0.35">
      <c r="A8" t="s">
        <v>7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</row>
    <row r="9" spans="1:6" x14ac:dyDescent="0.35">
      <c r="A9" t="s">
        <v>7</v>
      </c>
      <c r="B9" t="s">
        <v>29</v>
      </c>
      <c r="C9" t="s">
        <v>25</v>
      </c>
      <c r="D9" t="s">
        <v>26</v>
      </c>
      <c r="E9" t="s">
        <v>30</v>
      </c>
      <c r="F9" t="s">
        <v>31</v>
      </c>
    </row>
    <row r="10" spans="1:6" x14ac:dyDescent="0.35">
      <c r="A10" t="s">
        <v>7</v>
      </c>
      <c r="B10" t="s">
        <v>24</v>
      </c>
      <c r="C10" t="s">
        <v>32</v>
      </c>
      <c r="D10" t="s">
        <v>26</v>
      </c>
      <c r="E10" t="s">
        <v>33</v>
      </c>
      <c r="F10" t="s">
        <v>34</v>
      </c>
    </row>
    <row r="11" spans="1:6" x14ac:dyDescent="0.35">
      <c r="A11" t="s">
        <v>7</v>
      </c>
      <c r="B11" t="s">
        <v>8</v>
      </c>
      <c r="C11" t="s">
        <v>35</v>
      </c>
      <c r="D11" t="s">
        <v>36</v>
      </c>
      <c r="E11" t="s">
        <v>37</v>
      </c>
      <c r="F11" t="s">
        <v>38</v>
      </c>
    </row>
    <row r="12" spans="1:6" x14ac:dyDescent="0.35">
      <c r="A12" t="s">
        <v>7</v>
      </c>
      <c r="B12" t="s">
        <v>8</v>
      </c>
      <c r="C12" t="s">
        <v>39</v>
      </c>
      <c r="D12" t="s">
        <v>10</v>
      </c>
      <c r="E12" t="s">
        <v>40</v>
      </c>
      <c r="F12" t="s">
        <v>41</v>
      </c>
    </row>
    <row r="13" spans="1:6" x14ac:dyDescent="0.35">
      <c r="A13" t="s">
        <v>42</v>
      </c>
      <c r="B13" t="s">
        <v>24</v>
      </c>
      <c r="C13" t="s">
        <v>43</v>
      </c>
      <c r="D13" t="s">
        <v>26</v>
      </c>
      <c r="E13" t="s">
        <v>44</v>
      </c>
      <c r="F13" t="s">
        <v>45</v>
      </c>
    </row>
    <row r="14" spans="1:6" x14ac:dyDescent="0.35">
      <c r="A14" t="s">
        <v>42</v>
      </c>
      <c r="B14" t="s">
        <v>46</v>
      </c>
      <c r="C14" t="s">
        <v>43</v>
      </c>
      <c r="D14" t="s">
        <v>26</v>
      </c>
      <c r="E14" t="s">
        <v>47</v>
      </c>
      <c r="F14" t="s">
        <v>48</v>
      </c>
    </row>
    <row r="15" spans="1:6" x14ac:dyDescent="0.35">
      <c r="A15" t="s">
        <v>42</v>
      </c>
      <c r="B15" t="s">
        <v>24</v>
      </c>
      <c r="C15" t="s">
        <v>49</v>
      </c>
      <c r="D15" t="s">
        <v>26</v>
      </c>
      <c r="E15" t="s">
        <v>50</v>
      </c>
      <c r="F15" t="s">
        <v>51</v>
      </c>
    </row>
    <row r="16" spans="1:6" x14ac:dyDescent="0.35">
      <c r="A16" t="s">
        <v>42</v>
      </c>
      <c r="B16" t="s">
        <v>24</v>
      </c>
      <c r="C16" t="s">
        <v>52</v>
      </c>
      <c r="D16" t="s">
        <v>26</v>
      </c>
      <c r="E16" t="s">
        <v>53</v>
      </c>
      <c r="F16" t="s">
        <v>54</v>
      </c>
    </row>
    <row r="17" spans="1:6" x14ac:dyDescent="0.35">
      <c r="A17" t="s">
        <v>42</v>
      </c>
      <c r="B17" t="s">
        <v>55</v>
      </c>
      <c r="C17" t="s">
        <v>52</v>
      </c>
      <c r="D17" t="s">
        <v>17</v>
      </c>
      <c r="E17" t="s">
        <v>56</v>
      </c>
      <c r="F17" t="s">
        <v>57</v>
      </c>
    </row>
    <row r="18" spans="1:6" x14ac:dyDescent="0.35">
      <c r="A18" t="s">
        <v>58</v>
      </c>
      <c r="B18" t="s">
        <v>24</v>
      </c>
      <c r="C18" t="s">
        <v>59</v>
      </c>
      <c r="D18" t="s">
        <v>26</v>
      </c>
      <c r="E18" t="s">
        <v>60</v>
      </c>
      <c r="F18" t="s">
        <v>61</v>
      </c>
    </row>
    <row r="19" spans="1:6" x14ac:dyDescent="0.35">
      <c r="A19" t="s">
        <v>58</v>
      </c>
      <c r="B19" t="s">
        <v>8</v>
      </c>
      <c r="C19" t="s">
        <v>62</v>
      </c>
      <c r="D19" t="s">
        <v>17</v>
      </c>
      <c r="E19" t="s">
        <v>63</v>
      </c>
      <c r="F19" t="s">
        <v>64</v>
      </c>
    </row>
    <row r="20" spans="1:6" x14ac:dyDescent="0.35">
      <c r="A20" t="s">
        <v>65</v>
      </c>
      <c r="B20" t="s">
        <v>29</v>
      </c>
      <c r="C20" t="s">
        <v>66</v>
      </c>
      <c r="D20" t="s">
        <v>36</v>
      </c>
      <c r="E20" t="s">
        <v>67</v>
      </c>
      <c r="F20" t="s">
        <v>68</v>
      </c>
    </row>
    <row r="21" spans="1:6" x14ac:dyDescent="0.35">
      <c r="A21" t="s">
        <v>69</v>
      </c>
      <c r="B21" t="s">
        <v>8</v>
      </c>
      <c r="C21" t="s">
        <v>70</v>
      </c>
      <c r="D21" t="s">
        <v>36</v>
      </c>
      <c r="E21" t="s">
        <v>71</v>
      </c>
      <c r="F21" t="s">
        <v>72</v>
      </c>
    </row>
    <row r="22" spans="1:6" x14ac:dyDescent="0.35">
      <c r="A22" t="s">
        <v>69</v>
      </c>
      <c r="B22" t="s">
        <v>29</v>
      </c>
      <c r="C22" t="s">
        <v>73</v>
      </c>
      <c r="D22" t="s">
        <v>36</v>
      </c>
      <c r="E22" t="s">
        <v>74</v>
      </c>
      <c r="F22" t="s">
        <v>75</v>
      </c>
    </row>
    <row r="23" spans="1:6" x14ac:dyDescent="0.35">
      <c r="A23" t="s">
        <v>76</v>
      </c>
      <c r="B23" t="s">
        <v>8</v>
      </c>
      <c r="C23" t="s">
        <v>77</v>
      </c>
      <c r="D23" t="s">
        <v>26</v>
      </c>
      <c r="E23" t="s">
        <v>78</v>
      </c>
      <c r="F23" t="s">
        <v>79</v>
      </c>
    </row>
    <row r="24" spans="1:6" x14ac:dyDescent="0.35">
      <c r="A24" t="s">
        <v>76</v>
      </c>
      <c r="B24" t="s">
        <v>24</v>
      </c>
      <c r="C24" t="s">
        <v>77</v>
      </c>
      <c r="D24" t="s">
        <v>80</v>
      </c>
      <c r="E24" t="s">
        <v>81</v>
      </c>
      <c r="F24" t="s">
        <v>82</v>
      </c>
    </row>
    <row r="25" spans="1:6" x14ac:dyDescent="0.35">
      <c r="A25" t="s">
        <v>76</v>
      </c>
      <c r="B25" t="s">
        <v>83</v>
      </c>
      <c r="C25" t="s">
        <v>77</v>
      </c>
      <c r="D25" t="s">
        <v>80</v>
      </c>
      <c r="E25" t="s">
        <v>84</v>
      </c>
      <c r="F25" t="s">
        <v>85</v>
      </c>
    </row>
    <row r="26" spans="1:6" x14ac:dyDescent="0.35">
      <c r="A26" t="s">
        <v>76</v>
      </c>
      <c r="B26" t="s">
        <v>55</v>
      </c>
      <c r="C26" t="s">
        <v>77</v>
      </c>
      <c r="D26" t="s">
        <v>10</v>
      </c>
      <c r="E26" t="s">
        <v>86</v>
      </c>
      <c r="F26" t="s">
        <v>87</v>
      </c>
    </row>
    <row r="27" spans="1:6" x14ac:dyDescent="0.35">
      <c r="A27" t="s">
        <v>88</v>
      </c>
      <c r="B27" t="s">
        <v>8</v>
      </c>
      <c r="C27" t="s">
        <v>89</v>
      </c>
      <c r="D27" t="s">
        <v>26</v>
      </c>
      <c r="E27" t="s">
        <v>90</v>
      </c>
      <c r="F27" t="s">
        <v>91</v>
      </c>
    </row>
    <row r="28" spans="1:6" x14ac:dyDescent="0.35">
      <c r="A28" t="s">
        <v>88</v>
      </c>
      <c r="B28" t="s">
        <v>24</v>
      </c>
      <c r="C28" t="s">
        <v>89</v>
      </c>
      <c r="D28" t="s">
        <v>36</v>
      </c>
      <c r="E28" t="s">
        <v>92</v>
      </c>
      <c r="F28" t="s">
        <v>93</v>
      </c>
    </row>
    <row r="29" spans="1:6" x14ac:dyDescent="0.35">
      <c r="A29" t="s">
        <v>88</v>
      </c>
      <c r="B29" t="s">
        <v>8</v>
      </c>
      <c r="C29" t="s">
        <v>94</v>
      </c>
      <c r="D29" t="s">
        <v>36</v>
      </c>
      <c r="E29" t="s">
        <v>95</v>
      </c>
      <c r="F29" t="s">
        <v>96</v>
      </c>
    </row>
    <row r="30" spans="1:6" x14ac:dyDescent="0.35">
      <c r="A30" t="s">
        <v>88</v>
      </c>
      <c r="B30" t="s">
        <v>46</v>
      </c>
      <c r="C30" t="s">
        <v>94</v>
      </c>
      <c r="D30" t="s">
        <v>36</v>
      </c>
      <c r="E30" t="s">
        <v>97</v>
      </c>
      <c r="F30" t="s">
        <v>98</v>
      </c>
    </row>
    <row r="31" spans="1:6" x14ac:dyDescent="0.35">
      <c r="A31" t="s">
        <v>88</v>
      </c>
      <c r="B31" t="s">
        <v>24</v>
      </c>
      <c r="C31" t="s">
        <v>99</v>
      </c>
      <c r="D31" t="s">
        <v>36</v>
      </c>
      <c r="E31" t="s">
        <v>100</v>
      </c>
      <c r="F31" t="s">
        <v>101</v>
      </c>
    </row>
    <row r="32" spans="1:6" x14ac:dyDescent="0.35">
      <c r="A32" t="s">
        <v>102</v>
      </c>
      <c r="B32" t="s">
        <v>24</v>
      </c>
      <c r="C32" t="s">
        <v>103</v>
      </c>
      <c r="D32" t="s">
        <v>26</v>
      </c>
      <c r="E32" t="s">
        <v>104</v>
      </c>
      <c r="F32" t="s">
        <v>105</v>
      </c>
    </row>
    <row r="33" spans="1:8" x14ac:dyDescent="0.35">
      <c r="A33" t="s">
        <v>106</v>
      </c>
      <c r="B33" t="s">
        <v>24</v>
      </c>
      <c r="C33" t="s">
        <v>107</v>
      </c>
      <c r="D33" t="s">
        <v>10</v>
      </c>
      <c r="E33" t="s">
        <v>108</v>
      </c>
      <c r="F33" t="s">
        <v>109</v>
      </c>
    </row>
    <row r="34" spans="1:8" x14ac:dyDescent="0.35">
      <c r="A34" t="s">
        <v>106</v>
      </c>
      <c r="B34" t="s">
        <v>24</v>
      </c>
      <c r="C34" t="s">
        <v>110</v>
      </c>
      <c r="D34" t="s">
        <v>10</v>
      </c>
      <c r="E34" t="s">
        <v>111</v>
      </c>
      <c r="F34" t="s">
        <v>112</v>
      </c>
    </row>
    <row r="35" spans="1:8" x14ac:dyDescent="0.35">
      <c r="A35" t="s">
        <v>106</v>
      </c>
      <c r="B35" t="s">
        <v>55</v>
      </c>
      <c r="C35" t="s">
        <v>113</v>
      </c>
      <c r="D35" t="s">
        <v>10</v>
      </c>
      <c r="E35" t="s">
        <v>86</v>
      </c>
      <c r="F35" t="s">
        <v>87</v>
      </c>
    </row>
    <row r="36" spans="1:8" x14ac:dyDescent="0.35">
      <c r="A36" t="s">
        <v>114</v>
      </c>
      <c r="B36" t="s">
        <v>24</v>
      </c>
      <c r="C36" t="s">
        <v>115</v>
      </c>
      <c r="D36" t="s">
        <v>10</v>
      </c>
      <c r="E36" t="s">
        <v>116</v>
      </c>
      <c r="F36" t="s">
        <v>117</v>
      </c>
    </row>
    <row r="37" spans="1:8" x14ac:dyDescent="0.35">
      <c r="A37" t="s">
        <v>114</v>
      </c>
      <c r="B37" t="s">
        <v>24</v>
      </c>
      <c r="C37" t="s">
        <v>118</v>
      </c>
      <c r="D37" t="s">
        <v>10</v>
      </c>
      <c r="E37" t="s">
        <v>119</v>
      </c>
      <c r="F37" t="s">
        <v>120</v>
      </c>
    </row>
    <row r="38" spans="1:8" x14ac:dyDescent="0.35">
      <c r="A38" t="s">
        <v>114</v>
      </c>
      <c r="B38" t="s">
        <v>24</v>
      </c>
      <c r="C38" t="s">
        <v>121</v>
      </c>
      <c r="D38" t="s">
        <v>10</v>
      </c>
      <c r="E38" t="s">
        <v>122</v>
      </c>
      <c r="F38" t="s">
        <v>123</v>
      </c>
    </row>
    <row r="39" spans="1:8" x14ac:dyDescent="0.35">
      <c r="A39" t="s">
        <v>114</v>
      </c>
      <c r="B39" t="s">
        <v>24</v>
      </c>
      <c r="C39" t="s">
        <v>124</v>
      </c>
      <c r="D39" t="s">
        <v>10</v>
      </c>
      <c r="E39" t="s">
        <v>125</v>
      </c>
      <c r="F39" t="s">
        <v>126</v>
      </c>
    </row>
    <row r="40" spans="1:8" x14ac:dyDescent="0.35">
      <c r="A40" t="s">
        <v>114</v>
      </c>
      <c r="B40" t="s">
        <v>24</v>
      </c>
      <c r="C40" t="s">
        <v>127</v>
      </c>
      <c r="D40" t="s">
        <v>10</v>
      </c>
      <c r="E40" t="s">
        <v>128</v>
      </c>
      <c r="F40" t="s">
        <v>129</v>
      </c>
    </row>
    <row r="41" spans="1:8" x14ac:dyDescent="0.35">
      <c r="A41" t="s">
        <v>114</v>
      </c>
      <c r="B41" t="s">
        <v>24</v>
      </c>
      <c r="C41" t="s">
        <v>130</v>
      </c>
      <c r="D41" t="s">
        <v>10</v>
      </c>
      <c r="E41" t="s">
        <v>131</v>
      </c>
      <c r="F41" t="s">
        <v>132</v>
      </c>
    </row>
    <row r="42" spans="1:8" x14ac:dyDescent="0.35">
      <c r="A42" t="s">
        <v>114</v>
      </c>
      <c r="B42" t="s">
        <v>83</v>
      </c>
      <c r="C42" t="s">
        <v>133</v>
      </c>
      <c r="D42" t="s">
        <v>134</v>
      </c>
      <c r="E42" t="s">
        <v>135</v>
      </c>
      <c r="F42" t="s">
        <v>136</v>
      </c>
    </row>
    <row r="45" spans="1:8" ht="18.5" x14ac:dyDescent="0.45">
      <c r="A45" s="5" t="s">
        <v>137</v>
      </c>
    </row>
    <row r="47" spans="1:8" ht="16" x14ac:dyDescent="0.4">
      <c r="A47" s="152" t="s">
        <v>138</v>
      </c>
      <c r="B47" s="153"/>
      <c r="D47" s="154" t="s">
        <v>141</v>
      </c>
      <c r="E47" s="155"/>
      <c r="G47" s="156" t="s">
        <v>142</v>
      </c>
      <c r="H47" s="157"/>
    </row>
    <row r="48" spans="1:8" x14ac:dyDescent="0.35">
      <c r="A48" s="112" t="s">
        <v>1</v>
      </c>
      <c r="B48" s="113" t="s">
        <v>139</v>
      </c>
      <c r="D48" s="119" t="s">
        <v>2</v>
      </c>
      <c r="E48" s="120" t="s">
        <v>139</v>
      </c>
      <c r="G48" s="130" t="s">
        <v>4</v>
      </c>
      <c r="H48" s="131" t="s">
        <v>139</v>
      </c>
    </row>
    <row r="49" spans="1:8" x14ac:dyDescent="0.35">
      <c r="A49" s="114" t="s">
        <v>7</v>
      </c>
      <c r="B49" s="137">
        <f>COUNTIF(EndpointsTable[Category],A49)</f>
        <v>9</v>
      </c>
      <c r="D49" s="121" t="s">
        <v>24</v>
      </c>
      <c r="E49" s="140">
        <f>COUNTIF(EndpointsTable[Method],D49)</f>
        <v>18</v>
      </c>
      <c r="G49" s="132" t="s">
        <v>10</v>
      </c>
      <c r="H49" s="147">
        <f>COUNTIFS(EndpointsTable[Auth Level],"Public")+COUNTIFS(EndpointsTable[Auth Level],"Public + CSR header")</f>
        <v>14</v>
      </c>
    </row>
    <row r="50" spans="1:8" x14ac:dyDescent="0.35">
      <c r="A50" s="115" t="s">
        <v>42</v>
      </c>
      <c r="B50" s="138">
        <f>COUNTIF(EndpointsTable[Category],A50)</f>
        <v>5</v>
      </c>
      <c r="D50" s="122" t="s">
        <v>8</v>
      </c>
      <c r="E50" s="141">
        <f>COUNTIF(EndpointsTable[Method],D50)</f>
        <v>11</v>
      </c>
      <c r="G50" s="133" t="s">
        <v>26</v>
      </c>
      <c r="H50" s="148">
        <f>COUNTIFS(EndpointsTable[Auth Level],"Member (2FA)")+COUNTIFS(EndpointsTable[Auth Level],"Member (2FA) + x-enc-biotoken")</f>
        <v>13</v>
      </c>
    </row>
    <row r="51" spans="1:8" x14ac:dyDescent="0.35">
      <c r="A51" s="114" t="s">
        <v>58</v>
      </c>
      <c r="B51" s="137">
        <f>COUNTIF(EndpointsTable[Category],A51)</f>
        <v>2</v>
      </c>
      <c r="D51" s="123" t="s">
        <v>46</v>
      </c>
      <c r="E51" s="142">
        <f>COUNTIF(EndpointsTable[Method],D51)</f>
        <v>2</v>
      </c>
      <c r="G51" s="158" t="s">
        <v>36</v>
      </c>
      <c r="H51" s="159">
        <f>COUNTIF(EndpointsTable[Auth Level],"Member (1FA)")</f>
        <v>8</v>
      </c>
    </row>
    <row r="52" spans="1:8" x14ac:dyDescent="0.35">
      <c r="A52" s="115" t="s">
        <v>65</v>
      </c>
      <c r="B52" s="138">
        <f>COUNTIF(EndpointsTable[Category],A52)</f>
        <v>1</v>
      </c>
      <c r="D52" s="124" t="s">
        <v>29</v>
      </c>
      <c r="E52" s="143">
        <f>COUNTIF(EndpointsTable[Method],D52)</f>
        <v>3</v>
      </c>
      <c r="G52" s="134" t="s">
        <v>143</v>
      </c>
      <c r="H52" s="149">
        <f>COUNTIF(EndpointsTable[Auth Level],"Member")</f>
        <v>3</v>
      </c>
    </row>
    <row r="53" spans="1:8" x14ac:dyDescent="0.35">
      <c r="A53" s="114" t="s">
        <v>69</v>
      </c>
      <c r="B53" s="137">
        <f>COUNTIF(EndpointsTable[Category],A53)</f>
        <v>2</v>
      </c>
      <c r="D53" s="125" t="s">
        <v>83</v>
      </c>
      <c r="E53" s="144">
        <f>COUNTIF(EndpointsTable[Method],D53)</f>
        <v>2</v>
      </c>
      <c r="G53" s="135" t="s">
        <v>144</v>
      </c>
      <c r="H53" s="150">
        <f>COUNTIF(EndpointsTable[Auth Level],"Ops")</f>
        <v>1</v>
      </c>
    </row>
    <row r="54" spans="1:8" x14ac:dyDescent="0.35">
      <c r="A54" s="115" t="s">
        <v>76</v>
      </c>
      <c r="B54" s="138">
        <f>COUNTIF(EndpointsTable[Category],A54)</f>
        <v>4</v>
      </c>
      <c r="D54" s="126" t="s">
        <v>55</v>
      </c>
      <c r="E54" s="145">
        <f>COUNTIF(EndpointsTable[Method],D54)</f>
        <v>3</v>
      </c>
      <c r="G54" s="136" t="s">
        <v>140</v>
      </c>
      <c r="H54" s="151">
        <f>SUM(H49:H53)</f>
        <v>39</v>
      </c>
    </row>
    <row r="55" spans="1:8" x14ac:dyDescent="0.35">
      <c r="A55" s="114" t="s">
        <v>88</v>
      </c>
      <c r="B55" s="137">
        <f>COUNTIF(EndpointsTable[Category],A55)</f>
        <v>5</v>
      </c>
      <c r="D55" s="127" t="s">
        <v>140</v>
      </c>
      <c r="E55" s="146">
        <f>SUM(E49:E54)</f>
        <v>39</v>
      </c>
    </row>
    <row r="56" spans="1:8" x14ac:dyDescent="0.35">
      <c r="A56" s="115" t="s">
        <v>102</v>
      </c>
      <c r="B56" s="138">
        <f>COUNTIF(EndpointsTable[Category],A56)</f>
        <v>1</v>
      </c>
    </row>
    <row r="57" spans="1:8" x14ac:dyDescent="0.35">
      <c r="A57" s="114" t="s">
        <v>106</v>
      </c>
      <c r="B57" s="137">
        <f>COUNTIF(EndpointsTable[Category],A57)</f>
        <v>3</v>
      </c>
    </row>
    <row r="58" spans="1:8" x14ac:dyDescent="0.35">
      <c r="A58" s="115" t="s">
        <v>114</v>
      </c>
      <c r="B58" s="138">
        <f>COUNTIF(EndpointsTable[Category],A58)</f>
        <v>7</v>
      </c>
    </row>
    <row r="59" spans="1:8" x14ac:dyDescent="0.35">
      <c r="A59" s="116" t="s">
        <v>140</v>
      </c>
      <c r="B59" s="139">
        <f>SUM(B49:B58)</f>
        <v>39</v>
      </c>
    </row>
    <row r="62" spans="1:8" x14ac:dyDescent="0.35">
      <c r="A62" s="7"/>
    </row>
    <row r="63" spans="1:8" x14ac:dyDescent="0.35">
      <c r="A63" s="8"/>
    </row>
    <row r="64" spans="1:8" x14ac:dyDescent="0.35">
      <c r="A64" s="7"/>
    </row>
    <row r="65" spans="1:1" x14ac:dyDescent="0.35">
      <c r="A65" s="7"/>
    </row>
    <row r="66" spans="1:1" x14ac:dyDescent="0.35">
      <c r="A66" s="7"/>
    </row>
    <row r="67" spans="1:1" x14ac:dyDescent="0.35">
      <c r="A67" s="8"/>
    </row>
    <row r="68" spans="1:1" x14ac:dyDescent="0.35">
      <c r="A68" s="7"/>
    </row>
    <row r="69" spans="1:1" x14ac:dyDescent="0.35">
      <c r="A69" s="7"/>
    </row>
    <row r="70" spans="1:1" x14ac:dyDescent="0.35">
      <c r="A70" s="7"/>
    </row>
    <row r="71" spans="1:1" x14ac:dyDescent="0.35">
      <c r="A71" s="8"/>
    </row>
    <row r="72" spans="1:1" x14ac:dyDescent="0.35">
      <c r="A72" s="7"/>
    </row>
    <row r="73" spans="1:1" x14ac:dyDescent="0.35">
      <c r="A73" s="7"/>
    </row>
    <row r="74" spans="1:1" x14ac:dyDescent="0.35">
      <c r="A74" s="7"/>
    </row>
    <row r="75" spans="1:1" x14ac:dyDescent="0.35">
      <c r="A75" s="8"/>
    </row>
    <row r="76" spans="1:1" x14ac:dyDescent="0.35">
      <c r="A76" s="7"/>
    </row>
    <row r="77" spans="1:1" x14ac:dyDescent="0.35">
      <c r="A77" s="7"/>
    </row>
    <row r="78" spans="1:1" x14ac:dyDescent="0.35">
      <c r="A78" s="7"/>
    </row>
    <row r="79" spans="1:1" x14ac:dyDescent="0.35">
      <c r="A79" s="8"/>
    </row>
    <row r="80" spans="1:1" x14ac:dyDescent="0.35">
      <c r="A80" s="7"/>
    </row>
    <row r="81" spans="1:1" x14ac:dyDescent="0.35">
      <c r="A81" s="7"/>
    </row>
    <row r="82" spans="1:1" x14ac:dyDescent="0.35">
      <c r="A82" s="8"/>
    </row>
    <row r="83" spans="1:1" x14ac:dyDescent="0.35">
      <c r="A83" s="7"/>
    </row>
    <row r="84" spans="1:1" x14ac:dyDescent="0.35">
      <c r="A84" s="7"/>
    </row>
    <row r="85" spans="1:1" x14ac:dyDescent="0.35">
      <c r="A85" s="8"/>
    </row>
    <row r="86" spans="1:1" x14ac:dyDescent="0.35">
      <c r="A86" s="7"/>
    </row>
    <row r="87" spans="1:1" x14ac:dyDescent="0.35">
      <c r="A87" s="7"/>
    </row>
    <row r="88" spans="1:1" x14ac:dyDescent="0.35">
      <c r="A88" s="7"/>
    </row>
    <row r="89" spans="1:1" x14ac:dyDescent="0.35">
      <c r="A89" s="7"/>
    </row>
    <row r="90" spans="1:1" x14ac:dyDescent="0.35">
      <c r="A90" s="7"/>
    </row>
    <row r="91" spans="1:1" x14ac:dyDescent="0.35">
      <c r="A91" s="8"/>
    </row>
    <row r="92" spans="1:1" x14ac:dyDescent="0.35">
      <c r="A92" s="7"/>
    </row>
    <row r="93" spans="1:1" x14ac:dyDescent="0.35">
      <c r="A93" s="7"/>
    </row>
    <row r="94" spans="1:1" x14ac:dyDescent="0.35">
      <c r="A94" s="7"/>
    </row>
    <row r="95" spans="1:1" x14ac:dyDescent="0.35">
      <c r="A95" s="8"/>
    </row>
    <row r="96" spans="1:1" x14ac:dyDescent="0.35">
      <c r="A96" s="7"/>
    </row>
    <row r="97" spans="1:1" x14ac:dyDescent="0.35">
      <c r="A97" s="7"/>
    </row>
    <row r="98" spans="1:1" x14ac:dyDescent="0.35">
      <c r="A98" s="7"/>
    </row>
  </sheetData>
  <mergeCells count="3">
    <mergeCell ref="A47:B47"/>
    <mergeCell ref="D47:E47"/>
    <mergeCell ref="G47:H47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BF061-7103-4B56-A4E5-AF1E486FDA68}">
  <dimension ref="A1:E39"/>
  <sheetViews>
    <sheetView topLeftCell="A8" workbookViewId="0">
      <selection activeCell="C20" sqref="C20:C23"/>
    </sheetView>
  </sheetViews>
  <sheetFormatPr defaultRowHeight="14.5" x14ac:dyDescent="0.35"/>
  <cols>
    <col min="1" max="1" width="7.36328125" bestFit="1" customWidth="1"/>
    <col min="2" max="2" width="32.7265625" customWidth="1"/>
    <col min="3" max="3" width="5.453125" customWidth="1"/>
    <col min="4" max="4" width="53.81640625" bestFit="1" customWidth="1"/>
    <col min="5" max="5" width="5.453125" customWidth="1"/>
  </cols>
  <sheetData>
    <row r="1" spans="1:5" ht="35" customHeight="1" x14ac:dyDescent="0.55000000000000004">
      <c r="A1" s="10" t="s">
        <v>145</v>
      </c>
      <c r="B1" s="9"/>
      <c r="C1" s="9"/>
      <c r="D1" s="9"/>
      <c r="E1" s="9"/>
    </row>
    <row r="2" spans="1:5" x14ac:dyDescent="0.35">
      <c r="A2" s="11" t="s">
        <v>146</v>
      </c>
      <c r="B2" s="9"/>
      <c r="C2" s="9"/>
      <c r="D2" s="9"/>
      <c r="E2" s="9"/>
    </row>
    <row r="4" spans="1:5" ht="22" customHeight="1" x14ac:dyDescent="0.35">
      <c r="A4" s="14">
        <v>1</v>
      </c>
      <c r="B4" s="15" t="s">
        <v>147</v>
      </c>
      <c r="C4" s="16" t="s">
        <v>148</v>
      </c>
      <c r="D4" s="13" t="s">
        <v>149</v>
      </c>
    </row>
    <row r="5" spans="1:5" ht="22" customHeight="1" x14ac:dyDescent="0.35">
      <c r="A5" s="14"/>
      <c r="B5" s="15"/>
      <c r="C5" s="16"/>
      <c r="D5" s="13" t="s">
        <v>150</v>
      </c>
    </row>
    <row r="6" spans="1:5" ht="18" customHeight="1" x14ac:dyDescent="0.4">
      <c r="A6" s="17" t="s">
        <v>151</v>
      </c>
    </row>
    <row r="7" spans="1:5" ht="22" customHeight="1" x14ac:dyDescent="0.35">
      <c r="A7" s="19">
        <v>2</v>
      </c>
      <c r="B7" s="20" t="s">
        <v>152</v>
      </c>
      <c r="C7" s="21" t="s">
        <v>148</v>
      </c>
      <c r="D7" s="18" t="s">
        <v>153</v>
      </c>
    </row>
    <row r="8" spans="1:5" ht="22" customHeight="1" x14ac:dyDescent="0.35">
      <c r="A8" s="19"/>
      <c r="B8" s="20"/>
      <c r="C8" s="21"/>
      <c r="D8" s="18" t="s">
        <v>154</v>
      </c>
    </row>
    <row r="9" spans="1:5" ht="18" customHeight="1" x14ac:dyDescent="0.4">
      <c r="A9" s="17" t="s">
        <v>151</v>
      </c>
    </row>
    <row r="10" spans="1:5" ht="22" customHeight="1" x14ac:dyDescent="0.35">
      <c r="A10" s="23">
        <v>3</v>
      </c>
      <c r="B10" s="24" t="s">
        <v>155</v>
      </c>
      <c r="C10" s="25" t="s">
        <v>148</v>
      </c>
      <c r="D10" s="22" t="s">
        <v>156</v>
      </c>
    </row>
    <row r="11" spans="1:5" ht="22" customHeight="1" x14ac:dyDescent="0.35">
      <c r="A11" s="23"/>
      <c r="B11" s="24"/>
      <c r="C11" s="25"/>
      <c r="D11" s="22" t="s">
        <v>157</v>
      </c>
    </row>
    <row r="12" spans="1:5" ht="18" customHeight="1" x14ac:dyDescent="0.4">
      <c r="A12" s="17" t="s">
        <v>151</v>
      </c>
    </row>
    <row r="13" spans="1:5" ht="22" customHeight="1" x14ac:dyDescent="0.35">
      <c r="A13" s="27">
        <v>4</v>
      </c>
      <c r="B13" s="28" t="s">
        <v>158</v>
      </c>
      <c r="C13" s="29" t="s">
        <v>148</v>
      </c>
      <c r="D13" s="26" t="s">
        <v>159</v>
      </c>
    </row>
    <row r="14" spans="1:5" ht="22" customHeight="1" x14ac:dyDescent="0.35">
      <c r="A14" s="27"/>
      <c r="B14" s="28"/>
      <c r="C14" s="29"/>
      <c r="D14" s="26" t="s">
        <v>160</v>
      </c>
    </row>
    <row r="15" spans="1:5" ht="18" customHeight="1" x14ac:dyDescent="0.4">
      <c r="A15" s="17" t="s">
        <v>151</v>
      </c>
    </row>
    <row r="16" spans="1:5" ht="22" customHeight="1" x14ac:dyDescent="0.35">
      <c r="A16" s="30">
        <v>5</v>
      </c>
      <c r="B16" s="31" t="s">
        <v>161</v>
      </c>
      <c r="C16" s="12" t="s">
        <v>148</v>
      </c>
      <c r="D16" s="32" t="s">
        <v>162</v>
      </c>
    </row>
    <row r="17" spans="1:4" ht="18" customHeight="1" x14ac:dyDescent="0.4">
      <c r="A17" s="17" t="s">
        <v>151</v>
      </c>
    </row>
    <row r="18" spans="1:4" ht="22" customHeight="1" x14ac:dyDescent="0.35">
      <c r="A18" s="33">
        <v>6</v>
      </c>
      <c r="B18" s="34" t="s">
        <v>163</v>
      </c>
      <c r="C18" s="12" t="s">
        <v>148</v>
      </c>
      <c r="D18" s="35" t="s">
        <v>164</v>
      </c>
    </row>
    <row r="19" spans="1:4" ht="18" customHeight="1" x14ac:dyDescent="0.4">
      <c r="A19" s="17" t="s">
        <v>151</v>
      </c>
    </row>
    <row r="20" spans="1:4" ht="22" customHeight="1" x14ac:dyDescent="0.35">
      <c r="A20" s="37">
        <v>7</v>
      </c>
      <c r="B20" s="38" t="s">
        <v>165</v>
      </c>
      <c r="C20" s="39" t="s">
        <v>148</v>
      </c>
      <c r="D20" s="36" t="s">
        <v>166</v>
      </c>
    </row>
    <row r="21" spans="1:4" ht="22" customHeight="1" x14ac:dyDescent="0.35">
      <c r="A21" s="37"/>
      <c r="B21" s="38"/>
      <c r="C21" s="39"/>
      <c r="D21" s="36" t="s">
        <v>167</v>
      </c>
    </row>
    <row r="22" spans="1:4" ht="22" customHeight="1" x14ac:dyDescent="0.35">
      <c r="A22" s="37"/>
      <c r="B22" s="38"/>
      <c r="C22" s="39"/>
      <c r="D22" s="36" t="s">
        <v>168</v>
      </c>
    </row>
    <row r="23" spans="1:4" ht="22" customHeight="1" x14ac:dyDescent="0.35">
      <c r="A23" s="37"/>
      <c r="B23" s="38"/>
      <c r="C23" s="39"/>
      <c r="D23" s="36" t="s">
        <v>169</v>
      </c>
    </row>
    <row r="24" spans="1:4" ht="18" customHeight="1" x14ac:dyDescent="0.4">
      <c r="A24" s="17" t="s">
        <v>151</v>
      </c>
    </row>
    <row r="25" spans="1:4" ht="22" customHeight="1" x14ac:dyDescent="0.35">
      <c r="A25" s="41">
        <v>8</v>
      </c>
      <c r="B25" s="42" t="s">
        <v>170</v>
      </c>
      <c r="C25" s="43" t="s">
        <v>148</v>
      </c>
      <c r="D25" s="40" t="s">
        <v>171</v>
      </c>
    </row>
    <row r="26" spans="1:4" ht="22" customHeight="1" x14ac:dyDescent="0.35">
      <c r="A26" s="41"/>
      <c r="B26" s="42"/>
      <c r="C26" s="43"/>
      <c r="D26" s="40" t="s">
        <v>172</v>
      </c>
    </row>
    <row r="27" spans="1:4" ht="18" customHeight="1" x14ac:dyDescent="0.4">
      <c r="A27" s="17" t="s">
        <v>151</v>
      </c>
    </row>
    <row r="28" spans="1:4" ht="22" customHeight="1" x14ac:dyDescent="0.35">
      <c r="A28" s="44">
        <v>9</v>
      </c>
      <c r="B28" s="45" t="s">
        <v>173</v>
      </c>
      <c r="C28" s="12" t="s">
        <v>148</v>
      </c>
      <c r="D28" s="46" t="s">
        <v>174</v>
      </c>
    </row>
    <row r="32" spans="1:4" ht="16" x14ac:dyDescent="0.4">
      <c r="A32" s="6" t="s">
        <v>175</v>
      </c>
    </row>
    <row r="33" spans="1:4" x14ac:dyDescent="0.35">
      <c r="A33" s="47" t="s">
        <v>24</v>
      </c>
      <c r="B33" s="48" t="s">
        <v>176</v>
      </c>
    </row>
    <row r="34" spans="1:4" x14ac:dyDescent="0.35">
      <c r="A34" s="49" t="s">
        <v>8</v>
      </c>
      <c r="B34" s="48" t="s">
        <v>177</v>
      </c>
    </row>
    <row r="35" spans="1:4" x14ac:dyDescent="0.35">
      <c r="A35" s="50" t="s">
        <v>46</v>
      </c>
      <c r="B35" s="48" t="s">
        <v>178</v>
      </c>
    </row>
    <row r="36" spans="1:4" x14ac:dyDescent="0.35">
      <c r="A36" s="51" t="s">
        <v>29</v>
      </c>
      <c r="B36" s="48" t="s">
        <v>179</v>
      </c>
    </row>
    <row r="37" spans="1:4" x14ac:dyDescent="0.35">
      <c r="A37" s="52" t="s">
        <v>83</v>
      </c>
      <c r="B37" s="48" t="s">
        <v>180</v>
      </c>
    </row>
    <row r="39" spans="1:4" x14ac:dyDescent="0.35">
      <c r="A39" s="53" t="s">
        <v>181</v>
      </c>
      <c r="B39" s="9"/>
      <c r="C39" s="9"/>
      <c r="D39" s="9"/>
    </row>
  </sheetData>
  <mergeCells count="21">
    <mergeCell ref="A39:D39"/>
    <mergeCell ref="A20:A23"/>
    <mergeCell ref="B20:B23"/>
    <mergeCell ref="C20:C23"/>
    <mergeCell ref="A25:A26"/>
    <mergeCell ref="B25:B26"/>
    <mergeCell ref="C25:C26"/>
    <mergeCell ref="A10:A11"/>
    <mergeCell ref="B10:B11"/>
    <mergeCell ref="C10:C11"/>
    <mergeCell ref="A13:A14"/>
    <mergeCell ref="B13:B14"/>
    <mergeCell ref="C13:C14"/>
    <mergeCell ref="A1:E1"/>
    <mergeCell ref="A2:E2"/>
    <mergeCell ref="A4:A5"/>
    <mergeCell ref="B4:B5"/>
    <mergeCell ref="C4:C5"/>
    <mergeCell ref="A7:A8"/>
    <mergeCell ref="B7:B8"/>
    <mergeCell ref="C7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D65D8-A163-4282-AE78-6C73CF113E5A}">
  <dimension ref="A1:H52"/>
  <sheetViews>
    <sheetView topLeftCell="A31" workbookViewId="0">
      <selection activeCell="A40" sqref="A40"/>
    </sheetView>
  </sheetViews>
  <sheetFormatPr defaultRowHeight="14.5" x14ac:dyDescent="0.35"/>
  <cols>
    <col min="1" max="1" width="29.08984375" customWidth="1"/>
    <col min="2" max="2" width="9.08984375" customWidth="1"/>
    <col min="3" max="3" width="34" bestFit="1" customWidth="1"/>
    <col min="4" max="4" width="12.7265625" customWidth="1"/>
    <col min="5" max="5" width="9.08984375" customWidth="1"/>
    <col min="6" max="6" width="58.36328125" bestFit="1" customWidth="1"/>
    <col min="7" max="7" width="18.1796875" customWidth="1"/>
    <col min="8" max="8" width="9.08984375" customWidth="1"/>
  </cols>
  <sheetData>
    <row r="1" spans="1:6" ht="18.5" x14ac:dyDescent="0.45">
      <c r="A1" s="4" t="s">
        <v>182</v>
      </c>
    </row>
    <row r="3" spans="1:6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35">
      <c r="A4" t="s">
        <v>183</v>
      </c>
      <c r="B4" t="s">
        <v>24</v>
      </c>
      <c r="C4" t="s">
        <v>184</v>
      </c>
      <c r="D4" t="s">
        <v>26</v>
      </c>
      <c r="E4" t="s">
        <v>185</v>
      </c>
      <c r="F4" t="s">
        <v>186</v>
      </c>
    </row>
    <row r="5" spans="1:6" x14ac:dyDescent="0.35">
      <c r="A5" t="s">
        <v>183</v>
      </c>
      <c r="B5" t="s">
        <v>24</v>
      </c>
      <c r="C5" t="s">
        <v>187</v>
      </c>
      <c r="D5" t="s">
        <v>26</v>
      </c>
      <c r="E5" t="s">
        <v>188</v>
      </c>
      <c r="F5" t="s">
        <v>189</v>
      </c>
    </row>
    <row r="6" spans="1:6" x14ac:dyDescent="0.35">
      <c r="A6" t="s">
        <v>183</v>
      </c>
      <c r="B6" t="s">
        <v>24</v>
      </c>
      <c r="C6" t="s">
        <v>190</v>
      </c>
      <c r="D6" t="s">
        <v>191</v>
      </c>
      <c r="E6" t="s">
        <v>192</v>
      </c>
      <c r="F6" t="s">
        <v>193</v>
      </c>
    </row>
    <row r="7" spans="1:6" x14ac:dyDescent="0.35">
      <c r="A7" t="s">
        <v>194</v>
      </c>
      <c r="B7" t="s">
        <v>24</v>
      </c>
      <c r="C7" t="s">
        <v>195</v>
      </c>
      <c r="D7" t="s">
        <v>26</v>
      </c>
      <c r="E7" t="s">
        <v>196</v>
      </c>
      <c r="F7" t="s">
        <v>197</v>
      </c>
    </row>
    <row r="8" spans="1:6" x14ac:dyDescent="0.35">
      <c r="A8" t="s">
        <v>194</v>
      </c>
      <c r="B8" t="s">
        <v>29</v>
      </c>
      <c r="C8" t="s">
        <v>198</v>
      </c>
      <c r="D8" t="s">
        <v>26</v>
      </c>
      <c r="E8" t="s">
        <v>199</v>
      </c>
      <c r="F8" t="s">
        <v>200</v>
      </c>
    </row>
    <row r="9" spans="1:6" x14ac:dyDescent="0.35">
      <c r="A9" t="s">
        <v>201</v>
      </c>
      <c r="B9" t="s">
        <v>55</v>
      </c>
      <c r="C9" t="s">
        <v>202</v>
      </c>
      <c r="D9" t="s">
        <v>10</v>
      </c>
      <c r="E9" t="s">
        <v>86</v>
      </c>
      <c r="F9" t="s">
        <v>203</v>
      </c>
    </row>
    <row r="10" spans="1:6" x14ac:dyDescent="0.35">
      <c r="A10" t="s">
        <v>201</v>
      </c>
      <c r="B10" t="s">
        <v>24</v>
      </c>
      <c r="C10" t="s">
        <v>202</v>
      </c>
      <c r="D10" t="s">
        <v>26</v>
      </c>
      <c r="E10" t="s">
        <v>204</v>
      </c>
      <c r="F10" t="s">
        <v>205</v>
      </c>
    </row>
    <row r="11" spans="1:6" x14ac:dyDescent="0.35">
      <c r="A11" t="s">
        <v>201</v>
      </c>
      <c r="B11" t="s">
        <v>24</v>
      </c>
      <c r="C11" t="s">
        <v>206</v>
      </c>
      <c r="D11" t="s">
        <v>26</v>
      </c>
      <c r="E11" t="s">
        <v>207</v>
      </c>
      <c r="F11" t="s">
        <v>208</v>
      </c>
    </row>
    <row r="12" spans="1:6" x14ac:dyDescent="0.35">
      <c r="A12" t="s">
        <v>201</v>
      </c>
      <c r="B12" t="s">
        <v>8</v>
      </c>
      <c r="C12" t="s">
        <v>202</v>
      </c>
      <c r="D12" t="s">
        <v>26</v>
      </c>
      <c r="E12" t="s">
        <v>209</v>
      </c>
      <c r="F12" t="s">
        <v>210</v>
      </c>
    </row>
    <row r="13" spans="1:6" x14ac:dyDescent="0.35">
      <c r="A13" t="s">
        <v>201</v>
      </c>
      <c r="B13" t="s">
        <v>46</v>
      </c>
      <c r="C13" t="s">
        <v>202</v>
      </c>
      <c r="D13" t="s">
        <v>26</v>
      </c>
      <c r="E13" t="s">
        <v>211</v>
      </c>
      <c r="F13" t="s">
        <v>212</v>
      </c>
    </row>
    <row r="14" spans="1:6" x14ac:dyDescent="0.35">
      <c r="A14" t="s">
        <v>201</v>
      </c>
      <c r="B14" t="s">
        <v>83</v>
      </c>
      <c r="C14" t="s">
        <v>202</v>
      </c>
      <c r="D14" t="s">
        <v>26</v>
      </c>
      <c r="E14" t="s">
        <v>213</v>
      </c>
      <c r="F14" t="s">
        <v>214</v>
      </c>
    </row>
    <row r="15" spans="1:6" x14ac:dyDescent="0.35">
      <c r="A15" t="s">
        <v>215</v>
      </c>
      <c r="B15" t="s">
        <v>24</v>
      </c>
      <c r="C15" t="s">
        <v>216</v>
      </c>
      <c r="D15" t="s">
        <v>26</v>
      </c>
      <c r="E15" t="s">
        <v>217</v>
      </c>
      <c r="F15" t="s">
        <v>218</v>
      </c>
    </row>
    <row r="16" spans="1:6" x14ac:dyDescent="0.35">
      <c r="A16" t="s">
        <v>215</v>
      </c>
      <c r="B16" t="s">
        <v>24</v>
      </c>
      <c r="C16" t="s">
        <v>219</v>
      </c>
      <c r="D16" t="s">
        <v>26</v>
      </c>
      <c r="E16" t="s">
        <v>220</v>
      </c>
      <c r="F16" t="s">
        <v>221</v>
      </c>
    </row>
    <row r="17" spans="1:6" x14ac:dyDescent="0.35">
      <c r="A17" t="s">
        <v>215</v>
      </c>
      <c r="B17" t="s">
        <v>24</v>
      </c>
      <c r="C17" t="s">
        <v>222</v>
      </c>
      <c r="D17" t="s">
        <v>26</v>
      </c>
      <c r="E17" t="s">
        <v>223</v>
      </c>
      <c r="F17" t="s">
        <v>224</v>
      </c>
    </row>
    <row r="18" spans="1:6" x14ac:dyDescent="0.35">
      <c r="A18" t="s">
        <v>215</v>
      </c>
      <c r="B18" t="s">
        <v>8</v>
      </c>
      <c r="C18" t="s">
        <v>216</v>
      </c>
      <c r="D18" t="s">
        <v>26</v>
      </c>
      <c r="E18" t="s">
        <v>225</v>
      </c>
      <c r="F18" t="s">
        <v>226</v>
      </c>
    </row>
    <row r="19" spans="1:6" x14ac:dyDescent="0.35">
      <c r="A19" t="s">
        <v>215</v>
      </c>
      <c r="B19" t="s">
        <v>46</v>
      </c>
      <c r="C19" t="s">
        <v>222</v>
      </c>
      <c r="D19" t="s">
        <v>26</v>
      </c>
      <c r="E19" t="s">
        <v>227</v>
      </c>
      <c r="F19" t="s">
        <v>228</v>
      </c>
    </row>
    <row r="20" spans="1:6" x14ac:dyDescent="0.35">
      <c r="A20" t="s">
        <v>215</v>
      </c>
      <c r="B20" t="s">
        <v>83</v>
      </c>
      <c r="C20" t="s">
        <v>222</v>
      </c>
      <c r="D20" t="s">
        <v>26</v>
      </c>
      <c r="E20" t="s">
        <v>229</v>
      </c>
      <c r="F20" t="s">
        <v>230</v>
      </c>
    </row>
    <row r="21" spans="1:6" x14ac:dyDescent="0.35">
      <c r="A21" t="s">
        <v>231</v>
      </c>
      <c r="B21" t="s">
        <v>24</v>
      </c>
      <c r="C21" t="s">
        <v>232</v>
      </c>
      <c r="D21" t="s">
        <v>26</v>
      </c>
      <c r="E21" t="s">
        <v>233</v>
      </c>
      <c r="F21" t="s">
        <v>234</v>
      </c>
    </row>
    <row r="22" spans="1:6" x14ac:dyDescent="0.35">
      <c r="A22" t="s">
        <v>231</v>
      </c>
      <c r="B22" t="s">
        <v>24</v>
      </c>
      <c r="C22" t="s">
        <v>235</v>
      </c>
      <c r="D22" t="s">
        <v>26</v>
      </c>
      <c r="E22" t="s">
        <v>236</v>
      </c>
      <c r="F22" t="s">
        <v>237</v>
      </c>
    </row>
    <row r="23" spans="1:6" x14ac:dyDescent="0.35">
      <c r="A23" t="s">
        <v>231</v>
      </c>
      <c r="B23" t="s">
        <v>24</v>
      </c>
      <c r="C23" t="s">
        <v>238</v>
      </c>
      <c r="D23" t="s">
        <v>26</v>
      </c>
      <c r="E23" t="s">
        <v>239</v>
      </c>
      <c r="F23" t="s">
        <v>240</v>
      </c>
    </row>
    <row r="24" spans="1:6" x14ac:dyDescent="0.35">
      <c r="A24" t="s">
        <v>241</v>
      </c>
      <c r="B24" t="s">
        <v>24</v>
      </c>
      <c r="C24" t="s">
        <v>242</v>
      </c>
      <c r="D24" t="s">
        <v>26</v>
      </c>
      <c r="E24" t="s">
        <v>243</v>
      </c>
      <c r="F24" t="s">
        <v>244</v>
      </c>
    </row>
    <row r="25" spans="1:6" x14ac:dyDescent="0.35">
      <c r="A25" t="s">
        <v>241</v>
      </c>
      <c r="B25" t="s">
        <v>24</v>
      </c>
      <c r="C25" t="s">
        <v>245</v>
      </c>
      <c r="D25" t="s">
        <v>26</v>
      </c>
      <c r="E25" t="s">
        <v>246</v>
      </c>
      <c r="F25" t="s">
        <v>247</v>
      </c>
    </row>
    <row r="26" spans="1:6" x14ac:dyDescent="0.35">
      <c r="A26" t="s">
        <v>241</v>
      </c>
      <c r="B26" t="s">
        <v>24</v>
      </c>
      <c r="C26" t="s">
        <v>248</v>
      </c>
      <c r="D26" t="s">
        <v>26</v>
      </c>
      <c r="E26" t="s">
        <v>249</v>
      </c>
      <c r="F26" t="s">
        <v>250</v>
      </c>
    </row>
    <row r="27" spans="1:6" x14ac:dyDescent="0.35">
      <c r="A27" t="s">
        <v>251</v>
      </c>
      <c r="B27" t="s">
        <v>24</v>
      </c>
      <c r="C27" t="s">
        <v>252</v>
      </c>
      <c r="D27" t="s">
        <v>10</v>
      </c>
      <c r="E27" t="s">
        <v>253</v>
      </c>
      <c r="F27" t="s">
        <v>254</v>
      </c>
    </row>
    <row r="28" spans="1:6" x14ac:dyDescent="0.35">
      <c r="A28" t="s">
        <v>251</v>
      </c>
      <c r="B28" t="s">
        <v>24</v>
      </c>
      <c r="C28" t="s">
        <v>255</v>
      </c>
      <c r="D28" t="s">
        <v>10</v>
      </c>
      <c r="E28" t="s">
        <v>256</v>
      </c>
      <c r="F28" t="s">
        <v>257</v>
      </c>
    </row>
    <row r="29" spans="1:6" x14ac:dyDescent="0.35">
      <c r="A29" t="s">
        <v>251</v>
      </c>
      <c r="B29" t="s">
        <v>24</v>
      </c>
      <c r="C29" t="s">
        <v>258</v>
      </c>
      <c r="D29" t="s">
        <v>10</v>
      </c>
      <c r="E29" t="s">
        <v>259</v>
      </c>
      <c r="F29" t="s">
        <v>260</v>
      </c>
    </row>
    <row r="30" spans="1:6" x14ac:dyDescent="0.35">
      <c r="A30" t="s">
        <v>114</v>
      </c>
      <c r="B30" t="s">
        <v>24</v>
      </c>
      <c r="C30" t="s">
        <v>115</v>
      </c>
      <c r="D30" t="s">
        <v>10</v>
      </c>
      <c r="E30" t="s">
        <v>261</v>
      </c>
      <c r="F30" t="s">
        <v>262</v>
      </c>
    </row>
    <row r="31" spans="1:6" x14ac:dyDescent="0.35">
      <c r="A31" t="s">
        <v>114</v>
      </c>
      <c r="B31" t="s">
        <v>24</v>
      </c>
      <c r="C31" t="s">
        <v>263</v>
      </c>
      <c r="D31" t="s">
        <v>10</v>
      </c>
      <c r="E31" t="s">
        <v>264</v>
      </c>
      <c r="F31" t="s">
        <v>262</v>
      </c>
    </row>
    <row r="32" spans="1:6" x14ac:dyDescent="0.35">
      <c r="A32" t="s">
        <v>114</v>
      </c>
      <c r="B32" t="s">
        <v>24</v>
      </c>
      <c r="C32" t="s">
        <v>118</v>
      </c>
      <c r="D32" t="s">
        <v>10</v>
      </c>
      <c r="E32" t="s">
        <v>265</v>
      </c>
      <c r="F32" t="s">
        <v>266</v>
      </c>
    </row>
    <row r="33" spans="1:8" x14ac:dyDescent="0.35">
      <c r="A33" t="s">
        <v>114</v>
      </c>
      <c r="B33" t="s">
        <v>24</v>
      </c>
      <c r="C33" t="s">
        <v>121</v>
      </c>
      <c r="D33" t="s">
        <v>10</v>
      </c>
      <c r="E33" t="s">
        <v>122</v>
      </c>
      <c r="F33" t="s">
        <v>123</v>
      </c>
    </row>
    <row r="34" spans="1:8" x14ac:dyDescent="0.35">
      <c r="A34" t="s">
        <v>114</v>
      </c>
      <c r="B34" t="s">
        <v>24</v>
      </c>
      <c r="C34" t="s">
        <v>124</v>
      </c>
      <c r="D34" t="s">
        <v>10</v>
      </c>
      <c r="E34" t="s">
        <v>125</v>
      </c>
      <c r="F34" t="s">
        <v>126</v>
      </c>
    </row>
    <row r="35" spans="1:8" x14ac:dyDescent="0.35">
      <c r="A35" t="s">
        <v>114</v>
      </c>
      <c r="B35" t="s">
        <v>24</v>
      </c>
      <c r="C35" t="s">
        <v>127</v>
      </c>
      <c r="D35" t="s">
        <v>10</v>
      </c>
      <c r="E35" t="s">
        <v>128</v>
      </c>
      <c r="F35" t="s">
        <v>129</v>
      </c>
    </row>
    <row r="36" spans="1:8" x14ac:dyDescent="0.35">
      <c r="A36" t="s">
        <v>114</v>
      </c>
      <c r="B36" t="s">
        <v>24</v>
      </c>
      <c r="C36" t="s">
        <v>130</v>
      </c>
      <c r="D36" t="s">
        <v>10</v>
      </c>
      <c r="E36" t="s">
        <v>267</v>
      </c>
      <c r="F36" t="s">
        <v>132</v>
      </c>
    </row>
    <row r="37" spans="1:8" x14ac:dyDescent="0.35">
      <c r="A37" t="s">
        <v>114</v>
      </c>
      <c r="B37" t="s">
        <v>83</v>
      </c>
      <c r="C37" t="s">
        <v>133</v>
      </c>
      <c r="D37" t="s">
        <v>134</v>
      </c>
      <c r="E37" t="s">
        <v>135</v>
      </c>
      <c r="F37" t="s">
        <v>136</v>
      </c>
    </row>
    <row r="40" spans="1:8" ht="18.5" x14ac:dyDescent="0.45">
      <c r="A40" s="5" t="s">
        <v>137</v>
      </c>
    </row>
    <row r="42" spans="1:8" x14ac:dyDescent="0.35">
      <c r="A42" s="110" t="s">
        <v>138</v>
      </c>
      <c r="B42" s="111"/>
      <c r="D42" s="117" t="s">
        <v>141</v>
      </c>
      <c r="E42" s="118"/>
      <c r="G42" s="128" t="s">
        <v>142</v>
      </c>
      <c r="H42" s="129"/>
    </row>
    <row r="43" spans="1:8" x14ac:dyDescent="0.35">
      <c r="A43" s="112" t="s">
        <v>1</v>
      </c>
      <c r="B43" s="113" t="s">
        <v>139</v>
      </c>
      <c r="D43" s="119" t="s">
        <v>2</v>
      </c>
      <c r="E43" s="120" t="s">
        <v>139</v>
      </c>
      <c r="G43" s="130" t="s">
        <v>4</v>
      </c>
      <c r="H43" s="131" t="s">
        <v>139</v>
      </c>
    </row>
    <row r="44" spans="1:8" x14ac:dyDescent="0.35">
      <c r="A44" s="114" t="s">
        <v>183</v>
      </c>
      <c r="B44" s="137">
        <f>COUNTIF(Mobile2EndpointsTable[Category],"Dashboard")</f>
        <v>3</v>
      </c>
      <c r="D44" s="121" t="s">
        <v>24</v>
      </c>
      <c r="E44" s="140">
        <f>COUNTIF(Mobile2EndpointsTable[Method],"GET")</f>
        <v>25</v>
      </c>
      <c r="G44" s="132" t="s">
        <v>10</v>
      </c>
      <c r="H44" s="147">
        <f>COUNTIF(Mobile2EndpointsTable[Auth Level],"Public")</f>
        <v>11</v>
      </c>
    </row>
    <row r="45" spans="1:8" x14ac:dyDescent="0.35">
      <c r="A45" s="115" t="s">
        <v>194</v>
      </c>
      <c r="B45" s="138">
        <f>COUNTIF(Mobile2EndpointsTable[Category],"UGift")</f>
        <v>2</v>
      </c>
      <c r="D45" s="122" t="s">
        <v>8</v>
      </c>
      <c r="E45" s="141">
        <f>COUNTIF(Mobile2EndpointsTable[Method],"POST")</f>
        <v>2</v>
      </c>
      <c r="G45" s="133" t="s">
        <v>26</v>
      </c>
      <c r="H45" s="148">
        <f>COUNTIF(Mobile2EndpointsTable[Auth Level],"Member (2FA)")</f>
        <v>21</v>
      </c>
    </row>
    <row r="46" spans="1:8" x14ac:dyDescent="0.35">
      <c r="A46" s="114" t="s">
        <v>201</v>
      </c>
      <c r="B46" s="137">
        <f>COUNTIF(Mobile2EndpointsTable[Category],"Banks")</f>
        <v>6</v>
      </c>
      <c r="D46" s="123" t="s">
        <v>46</v>
      </c>
      <c r="E46" s="142">
        <f>COUNTIF(Mobile2EndpointsTable[Method],"PUT")</f>
        <v>2</v>
      </c>
      <c r="G46" s="134" t="s">
        <v>191</v>
      </c>
      <c r="H46" s="149">
        <f>COUNTIF(Mobile2EndpointsTable[Auth Level],"Internal")</f>
        <v>1</v>
      </c>
    </row>
    <row r="47" spans="1:8" x14ac:dyDescent="0.35">
      <c r="A47" s="115" t="s">
        <v>215</v>
      </c>
      <c r="B47" s="138">
        <f>COUNTIF(Mobile2EndpointsTable[Category],"Contributions")</f>
        <v>6</v>
      </c>
      <c r="D47" s="124" t="s">
        <v>29</v>
      </c>
      <c r="E47" s="143">
        <f>COUNTIF(Mobile2EndpointsTable[Method],"PATCH")</f>
        <v>1</v>
      </c>
      <c r="G47" s="135" t="s">
        <v>134</v>
      </c>
      <c r="H47" s="150">
        <f>COUNTIF(Mobile2EndpointsTable[Auth Level],"Ops")</f>
        <v>1</v>
      </c>
    </row>
    <row r="48" spans="1:8" x14ac:dyDescent="0.35">
      <c r="A48" s="114" t="s">
        <v>231</v>
      </c>
      <c r="B48" s="137">
        <f>COUNTIF(Mobile2EndpointsTable[Category],"Activity &amp; Transactions")</f>
        <v>3</v>
      </c>
      <c r="D48" s="125" t="s">
        <v>83</v>
      </c>
      <c r="E48" s="144">
        <f>COUNTIF(Mobile2EndpointsTable[Method],"DELETE")</f>
        <v>3</v>
      </c>
      <c r="G48" s="136" t="s">
        <v>140</v>
      </c>
      <c r="H48" s="151">
        <f>SUM(H44:H47)</f>
        <v>34</v>
      </c>
    </row>
    <row r="49" spans="1:5" x14ac:dyDescent="0.35">
      <c r="A49" s="115" t="s">
        <v>241</v>
      </c>
      <c r="B49" s="138">
        <f>COUNTIF(Mobile2EndpointsTable[Category],"Performance &amp; Balance")</f>
        <v>3</v>
      </c>
      <c r="D49" s="126" t="s">
        <v>55</v>
      </c>
      <c r="E49" s="145">
        <f>COUNTIF(Mobile2EndpointsTable[Method],"OPTIONS")</f>
        <v>1</v>
      </c>
    </row>
    <row r="50" spans="1:5" x14ac:dyDescent="0.35">
      <c r="A50" s="114" t="s">
        <v>251</v>
      </c>
      <c r="B50" s="137">
        <f>COUNTIF(Mobile2EndpointsTable[Category],"Content &amp; Plans")</f>
        <v>3</v>
      </c>
      <c r="D50" s="127" t="s">
        <v>140</v>
      </c>
      <c r="E50" s="146">
        <f>SUM(E44:E49)</f>
        <v>34</v>
      </c>
    </row>
    <row r="51" spans="1:5" x14ac:dyDescent="0.35">
      <c r="A51" s="115" t="s">
        <v>114</v>
      </c>
      <c r="B51" s="138">
        <f>COUNTIF(Mobile2EndpointsTable[Category],"Docs, Health &amp; Ops")</f>
        <v>8</v>
      </c>
    </row>
    <row r="52" spans="1:5" x14ac:dyDescent="0.35">
      <c r="A52" s="116" t="s">
        <v>140</v>
      </c>
      <c r="B52" s="139">
        <f>SUM(B44:B51)</f>
        <v>34</v>
      </c>
    </row>
  </sheetData>
  <mergeCells count="3">
    <mergeCell ref="A42:B42"/>
    <mergeCell ref="D42:E42"/>
    <mergeCell ref="G42:H4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AA8F-2F1C-43D8-8A7F-9FD9DF811525}">
  <dimension ref="A1:E46"/>
  <sheetViews>
    <sheetView topLeftCell="A32" workbookViewId="0">
      <selection sqref="A1:E1"/>
    </sheetView>
  </sheetViews>
  <sheetFormatPr defaultRowHeight="14.5" x14ac:dyDescent="0.35"/>
  <cols>
    <col min="1" max="1" width="4.54296875" customWidth="1"/>
    <col min="2" max="2" width="25.453125" customWidth="1"/>
    <col min="3" max="3" width="4.54296875" customWidth="1"/>
    <col min="4" max="4" width="63.6328125" customWidth="1"/>
  </cols>
  <sheetData>
    <row r="1" spans="1:5" ht="25" customHeight="1" x14ac:dyDescent="0.45">
      <c r="A1" s="55" t="s">
        <v>268</v>
      </c>
      <c r="B1" s="55"/>
      <c r="C1" s="55"/>
      <c r="D1" s="55"/>
      <c r="E1" s="55"/>
    </row>
    <row r="2" spans="1:5" x14ac:dyDescent="0.35">
      <c r="A2" s="56" t="s">
        <v>269</v>
      </c>
      <c r="B2" s="56"/>
      <c r="C2" s="56"/>
      <c r="D2" s="56"/>
      <c r="E2" s="56"/>
    </row>
    <row r="4" spans="1:5" ht="16" x14ac:dyDescent="0.4">
      <c r="A4" s="68">
        <v>1</v>
      </c>
      <c r="B4" s="64" t="s">
        <v>270</v>
      </c>
      <c r="C4" s="65" t="s">
        <v>148</v>
      </c>
      <c r="D4" s="71" t="s">
        <v>271</v>
      </c>
    </row>
    <row r="5" spans="1:5" x14ac:dyDescent="0.35">
      <c r="A5" s="69"/>
      <c r="B5" s="62"/>
      <c r="C5" s="63"/>
      <c r="D5" s="72" t="s">
        <v>272</v>
      </c>
    </row>
    <row r="6" spans="1:5" x14ac:dyDescent="0.35">
      <c r="A6" s="70"/>
      <c r="B6" s="66"/>
      <c r="C6" s="67"/>
      <c r="D6" s="73" t="s">
        <v>273</v>
      </c>
    </row>
    <row r="7" spans="1:5" ht="18.5" x14ac:dyDescent="0.45">
      <c r="A7" s="57" t="s">
        <v>151</v>
      </c>
      <c r="B7" s="2"/>
      <c r="C7" s="54"/>
    </row>
    <row r="8" spans="1:5" ht="16" x14ac:dyDescent="0.4">
      <c r="A8" s="78">
        <v>2</v>
      </c>
      <c r="B8" s="74" t="s">
        <v>274</v>
      </c>
      <c r="C8" s="75" t="s">
        <v>148</v>
      </c>
      <c r="D8" s="80" t="s">
        <v>275</v>
      </c>
    </row>
    <row r="9" spans="1:5" x14ac:dyDescent="0.35">
      <c r="A9" s="79"/>
      <c r="B9" s="76"/>
      <c r="C9" s="77"/>
      <c r="D9" s="81" t="s">
        <v>276</v>
      </c>
    </row>
    <row r="10" spans="1:5" ht="18.5" x14ac:dyDescent="0.45">
      <c r="A10" s="58" t="s">
        <v>151</v>
      </c>
      <c r="B10" s="2"/>
      <c r="C10" s="54"/>
    </row>
    <row r="11" spans="1:5" ht="16" x14ac:dyDescent="0.4">
      <c r="A11" s="88">
        <v>3</v>
      </c>
      <c r="B11" s="84" t="s">
        <v>155</v>
      </c>
      <c r="C11" s="85" t="s">
        <v>148</v>
      </c>
      <c r="D11" s="91" t="s">
        <v>277</v>
      </c>
    </row>
    <row r="12" spans="1:5" x14ac:dyDescent="0.35">
      <c r="A12" s="89"/>
      <c r="B12" s="82"/>
      <c r="C12" s="83"/>
      <c r="D12" s="92" t="s">
        <v>278</v>
      </c>
    </row>
    <row r="13" spans="1:5" x14ac:dyDescent="0.35">
      <c r="A13" s="90"/>
      <c r="B13" s="86"/>
      <c r="C13" s="87"/>
      <c r="D13" s="93" t="s">
        <v>279</v>
      </c>
    </row>
    <row r="14" spans="1:5" ht="18.5" x14ac:dyDescent="0.45">
      <c r="A14" s="59" t="s">
        <v>151</v>
      </c>
      <c r="B14" s="2"/>
      <c r="C14" s="54"/>
    </row>
    <row r="15" spans="1:5" ht="16" x14ac:dyDescent="0.4">
      <c r="A15" s="68">
        <v>4</v>
      </c>
      <c r="B15" s="64" t="s">
        <v>161</v>
      </c>
      <c r="C15" s="65" t="s">
        <v>148</v>
      </c>
      <c r="D15" s="71" t="s">
        <v>280</v>
      </c>
    </row>
    <row r="16" spans="1:5" x14ac:dyDescent="0.35">
      <c r="A16" s="69"/>
      <c r="B16" s="62"/>
      <c r="C16" s="63"/>
      <c r="D16" s="72" t="s">
        <v>281</v>
      </c>
    </row>
    <row r="17" spans="1:4" x14ac:dyDescent="0.35">
      <c r="A17" s="70"/>
      <c r="B17" s="66"/>
      <c r="C17" s="67"/>
      <c r="D17" s="73" t="s">
        <v>282</v>
      </c>
    </row>
    <row r="18" spans="1:4" ht="18.5" x14ac:dyDescent="0.45">
      <c r="A18" s="57" t="s">
        <v>151</v>
      </c>
      <c r="B18" s="2"/>
      <c r="C18" s="54"/>
    </row>
    <row r="19" spans="1:4" ht="16" x14ac:dyDescent="0.4">
      <c r="A19" s="78">
        <v>5</v>
      </c>
      <c r="B19" s="74" t="s">
        <v>283</v>
      </c>
      <c r="C19" s="75" t="s">
        <v>148</v>
      </c>
      <c r="D19" s="80" t="s">
        <v>284</v>
      </c>
    </row>
    <row r="20" spans="1:4" x14ac:dyDescent="0.35">
      <c r="A20" s="79"/>
      <c r="B20" s="76"/>
      <c r="C20" s="77"/>
      <c r="D20" s="81" t="s">
        <v>285</v>
      </c>
    </row>
    <row r="21" spans="1:4" ht="18.5" x14ac:dyDescent="0.45">
      <c r="A21" s="58" t="s">
        <v>151</v>
      </c>
      <c r="B21" s="2"/>
      <c r="C21" s="54"/>
    </row>
    <row r="22" spans="1:4" ht="16" x14ac:dyDescent="0.4">
      <c r="A22" s="88">
        <v>6</v>
      </c>
      <c r="B22" s="84" t="s">
        <v>286</v>
      </c>
      <c r="C22" s="85" t="s">
        <v>148</v>
      </c>
      <c r="D22" s="91" t="s">
        <v>287</v>
      </c>
    </row>
    <row r="23" spans="1:4" x14ac:dyDescent="0.35">
      <c r="A23" s="89"/>
      <c r="B23" s="82"/>
      <c r="C23" s="83"/>
      <c r="D23" s="92" t="s">
        <v>288</v>
      </c>
    </row>
    <row r="24" spans="1:4" x14ac:dyDescent="0.35">
      <c r="A24" s="89"/>
      <c r="B24" s="82"/>
      <c r="C24" s="83"/>
      <c r="D24" s="92" t="s">
        <v>289</v>
      </c>
    </row>
    <row r="25" spans="1:4" x14ac:dyDescent="0.35">
      <c r="A25" s="90"/>
      <c r="B25" s="86"/>
      <c r="C25" s="87"/>
      <c r="D25" s="93" t="s">
        <v>290</v>
      </c>
    </row>
    <row r="26" spans="1:4" ht="18.5" x14ac:dyDescent="0.45">
      <c r="A26" s="59" t="s">
        <v>151</v>
      </c>
      <c r="B26" s="2"/>
      <c r="C26" s="54"/>
    </row>
    <row r="27" spans="1:4" ht="16" x14ac:dyDescent="0.4">
      <c r="A27" s="68">
        <v>7</v>
      </c>
      <c r="B27" s="64" t="s">
        <v>215</v>
      </c>
      <c r="C27" s="65" t="s">
        <v>148</v>
      </c>
      <c r="D27" s="71" t="s">
        <v>291</v>
      </c>
    </row>
    <row r="28" spans="1:4" x14ac:dyDescent="0.35">
      <c r="A28" s="69"/>
      <c r="B28" s="62"/>
      <c r="C28" s="63"/>
      <c r="D28" s="72" t="s">
        <v>292</v>
      </c>
    </row>
    <row r="29" spans="1:4" x14ac:dyDescent="0.35">
      <c r="A29" s="69"/>
      <c r="B29" s="62"/>
      <c r="C29" s="63"/>
      <c r="D29" s="72" t="s">
        <v>293</v>
      </c>
    </row>
    <row r="30" spans="1:4" x14ac:dyDescent="0.35">
      <c r="A30" s="69"/>
      <c r="B30" s="62"/>
      <c r="C30" s="63"/>
      <c r="D30" s="72" t="s">
        <v>294</v>
      </c>
    </row>
    <row r="31" spans="1:4" x14ac:dyDescent="0.35">
      <c r="A31" s="70"/>
      <c r="B31" s="66"/>
      <c r="C31" s="67"/>
      <c r="D31" s="73" t="s">
        <v>295</v>
      </c>
    </row>
    <row r="32" spans="1:4" ht="18.5" x14ac:dyDescent="0.45">
      <c r="A32" s="57" t="s">
        <v>151</v>
      </c>
      <c r="B32" s="2"/>
      <c r="C32" s="54"/>
    </row>
    <row r="33" spans="1:4" ht="16" x14ac:dyDescent="0.4">
      <c r="A33" s="78">
        <v>8</v>
      </c>
      <c r="B33" s="74" t="s">
        <v>194</v>
      </c>
      <c r="C33" s="75" t="s">
        <v>148</v>
      </c>
      <c r="D33" s="80" t="s">
        <v>296</v>
      </c>
    </row>
    <row r="34" spans="1:4" x14ac:dyDescent="0.35">
      <c r="A34" s="79"/>
      <c r="B34" s="76"/>
      <c r="C34" s="77"/>
      <c r="D34" s="81" t="s">
        <v>297</v>
      </c>
    </row>
    <row r="35" spans="1:4" ht="18.5" x14ac:dyDescent="0.45">
      <c r="A35" s="58" t="s">
        <v>151</v>
      </c>
      <c r="B35" s="2"/>
      <c r="C35" s="54"/>
    </row>
    <row r="36" spans="1:4" ht="16" x14ac:dyDescent="0.4">
      <c r="A36" s="96">
        <v>9</v>
      </c>
      <c r="B36" s="94" t="s">
        <v>298</v>
      </c>
      <c r="C36" s="95" t="s">
        <v>148</v>
      </c>
      <c r="D36" s="97" t="s">
        <v>299</v>
      </c>
    </row>
    <row r="39" spans="1:4" x14ac:dyDescent="0.35">
      <c r="A39" s="98" t="s">
        <v>175</v>
      </c>
      <c r="B39" s="99"/>
    </row>
    <row r="40" spans="1:4" x14ac:dyDescent="0.35">
      <c r="A40" s="100" t="s">
        <v>24</v>
      </c>
      <c r="B40" s="101" t="s">
        <v>176</v>
      </c>
    </row>
    <row r="41" spans="1:4" x14ac:dyDescent="0.35">
      <c r="A41" s="102" t="s">
        <v>8</v>
      </c>
      <c r="B41" s="103" t="s">
        <v>177</v>
      </c>
    </row>
    <row r="42" spans="1:4" x14ac:dyDescent="0.35">
      <c r="A42" s="104" t="s">
        <v>46</v>
      </c>
      <c r="B42" s="105" t="s">
        <v>178</v>
      </c>
    </row>
    <row r="43" spans="1:4" x14ac:dyDescent="0.35">
      <c r="A43" s="106" t="s">
        <v>29</v>
      </c>
      <c r="B43" s="107" t="s">
        <v>300</v>
      </c>
    </row>
    <row r="44" spans="1:4" x14ac:dyDescent="0.35">
      <c r="A44" s="108" t="s">
        <v>83</v>
      </c>
      <c r="B44" s="109" t="s">
        <v>180</v>
      </c>
    </row>
    <row r="46" spans="1:4" x14ac:dyDescent="0.35">
      <c r="A46" s="61" t="s">
        <v>181</v>
      </c>
      <c r="B46" s="60"/>
      <c r="C46" s="60"/>
      <c r="D46" s="60"/>
    </row>
  </sheetData>
  <mergeCells count="3">
    <mergeCell ref="A1:E1"/>
    <mergeCell ref="A2:E2"/>
    <mergeCell ref="A46:D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API Endpoints - Mobile1</vt:lpstr>
      <vt:lpstr>Mobile1 App Flow</vt:lpstr>
      <vt:lpstr>API Endpoints - Mobile2</vt:lpstr>
      <vt:lpstr>Mobile2 App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Kumar</dc:creator>
  <cp:lastModifiedBy>Dinesh Kumar</cp:lastModifiedBy>
  <dcterms:created xsi:type="dcterms:W3CDTF">2026-07-01T15:19:38Z</dcterms:created>
  <dcterms:modified xsi:type="dcterms:W3CDTF">2026-07-02T15:32:40Z</dcterms:modified>
</cp:coreProperties>
</file>